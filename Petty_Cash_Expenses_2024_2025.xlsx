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smtnetwork-my.sharepoint.com/personal/blessing_daubri_smt_network/Documents/"/>
    </mc:Choice>
  </mc:AlternateContent>
  <xr:revisionPtr revIDLastSave="1337" documentId="8_{210021D7-FD4B-4AB0-B917-9DFFDA2D2463}" xr6:coauthVersionLast="47" xr6:coauthVersionMax="47" xr10:uidLastSave="{37DA98CA-E3FD-4B59-9C05-EA25566F9AEB}"/>
  <bookViews>
    <workbookView xWindow="-120" yWindow="-120" windowWidth="20730" windowHeight="11040" firstSheet="1" activeTab="5" xr2:uid="{87AEFB84-4FE9-4F27-9B03-BBB7E00D5CF6}"/>
  </bookViews>
  <sheets>
    <sheet name="Lookup_List" sheetId="2" r:id="rId1"/>
    <sheet name=" the raw data" sheetId="13" r:id="rId2"/>
    <sheet name="Copy_Raw_ Data" sheetId="1" r:id="rId3"/>
    <sheet name="Expense_Transaction" sheetId="14" r:id="rId4"/>
    <sheet name="Pivot_table" sheetId="15" r:id="rId5"/>
    <sheet name="Dashboard" sheetId="16" r:id="rId6"/>
  </sheets>
  <definedNames>
    <definedName name="ExternalData_1" localSheetId="3" hidden="1">Expense_Transaction!$A$1:$K$683</definedName>
    <definedName name="Slicer_Category">#N/A</definedName>
    <definedName name="Slicer_Month">#N/A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15" l="1"/>
  <c r="E683" i="13"/>
  <c r="D683" i="13"/>
  <c r="C683" i="13"/>
  <c r="E682" i="13"/>
  <c r="D682" i="13"/>
  <c r="C682" i="13"/>
  <c r="E681" i="13"/>
  <c r="D681" i="13"/>
  <c r="C681" i="13"/>
  <c r="E680" i="13"/>
  <c r="D680" i="13"/>
  <c r="C680" i="13"/>
  <c r="E679" i="13"/>
  <c r="D679" i="13"/>
  <c r="C679" i="13"/>
  <c r="E678" i="13"/>
  <c r="D678" i="13"/>
  <c r="C678" i="13"/>
  <c r="E677" i="13"/>
  <c r="D677" i="13"/>
  <c r="C677" i="13"/>
  <c r="E676" i="13"/>
  <c r="D676" i="13"/>
  <c r="C676" i="13"/>
  <c r="E675" i="13"/>
  <c r="D675" i="13"/>
  <c r="C675" i="13"/>
  <c r="E674" i="13"/>
  <c r="D674" i="13"/>
  <c r="C674" i="13"/>
  <c r="E673" i="13"/>
  <c r="D673" i="13"/>
  <c r="C673" i="13"/>
  <c r="E672" i="13"/>
  <c r="D672" i="13"/>
  <c r="C672" i="13"/>
  <c r="E671" i="13"/>
  <c r="D671" i="13"/>
  <c r="C671" i="13"/>
  <c r="E670" i="13"/>
  <c r="D670" i="13"/>
  <c r="C670" i="13"/>
  <c r="E669" i="13"/>
  <c r="D669" i="13"/>
  <c r="C669" i="13"/>
  <c r="E668" i="13"/>
  <c r="D668" i="13"/>
  <c r="C668" i="13"/>
  <c r="E667" i="13"/>
  <c r="D667" i="13"/>
  <c r="C667" i="13"/>
  <c r="E666" i="13"/>
  <c r="D666" i="13"/>
  <c r="C666" i="13"/>
  <c r="E665" i="13"/>
  <c r="D665" i="13"/>
  <c r="C665" i="13"/>
  <c r="E664" i="13"/>
  <c r="D664" i="13"/>
  <c r="C664" i="13"/>
  <c r="E663" i="13"/>
  <c r="D663" i="13"/>
  <c r="C663" i="13"/>
  <c r="E662" i="13"/>
  <c r="D662" i="13"/>
  <c r="C662" i="13"/>
  <c r="E661" i="13"/>
  <c r="D661" i="13"/>
  <c r="C661" i="13"/>
  <c r="E660" i="13"/>
  <c r="D660" i="13"/>
  <c r="C660" i="13"/>
  <c r="E659" i="13"/>
  <c r="D659" i="13"/>
  <c r="C659" i="13"/>
  <c r="E658" i="13"/>
  <c r="D658" i="13"/>
  <c r="C658" i="13"/>
  <c r="E657" i="13"/>
  <c r="D657" i="13"/>
  <c r="C657" i="13"/>
  <c r="E656" i="13"/>
  <c r="D656" i="13"/>
  <c r="C656" i="13"/>
  <c r="E655" i="13"/>
  <c r="D655" i="13"/>
  <c r="C655" i="13"/>
  <c r="E654" i="13"/>
  <c r="D654" i="13"/>
  <c r="C654" i="13"/>
  <c r="E653" i="13"/>
  <c r="D653" i="13"/>
  <c r="C653" i="13"/>
  <c r="E652" i="13"/>
  <c r="D652" i="13"/>
  <c r="C652" i="13"/>
  <c r="E651" i="13"/>
  <c r="D651" i="13"/>
  <c r="C651" i="13"/>
  <c r="E650" i="13"/>
  <c r="D650" i="13"/>
  <c r="C650" i="13"/>
  <c r="E649" i="13"/>
  <c r="D649" i="13"/>
  <c r="C649" i="13"/>
  <c r="E648" i="13"/>
  <c r="D648" i="13"/>
  <c r="C648" i="13"/>
  <c r="E647" i="13"/>
  <c r="D647" i="13"/>
  <c r="C647" i="13"/>
  <c r="E646" i="13"/>
  <c r="D646" i="13"/>
  <c r="C646" i="13"/>
  <c r="E645" i="13"/>
  <c r="D645" i="13"/>
  <c r="C645" i="13"/>
  <c r="E644" i="13"/>
  <c r="D644" i="13"/>
  <c r="C644" i="13"/>
  <c r="E643" i="13"/>
  <c r="D643" i="13"/>
  <c r="C643" i="13"/>
  <c r="E642" i="13"/>
  <c r="D642" i="13"/>
  <c r="C642" i="13"/>
  <c r="E641" i="13"/>
  <c r="D641" i="13"/>
  <c r="C641" i="13"/>
  <c r="E640" i="13"/>
  <c r="D640" i="13"/>
  <c r="C640" i="13"/>
  <c r="E639" i="13"/>
  <c r="D639" i="13"/>
  <c r="C639" i="13"/>
  <c r="E638" i="13"/>
  <c r="D638" i="13"/>
  <c r="C638" i="13"/>
  <c r="E637" i="13"/>
  <c r="D637" i="13"/>
  <c r="C637" i="13"/>
  <c r="E636" i="13"/>
  <c r="D636" i="13"/>
  <c r="C636" i="13"/>
  <c r="E635" i="13"/>
  <c r="D635" i="13"/>
  <c r="C635" i="13"/>
  <c r="E634" i="13"/>
  <c r="D634" i="13"/>
  <c r="C634" i="13"/>
  <c r="E633" i="13"/>
  <c r="D633" i="13"/>
  <c r="C633" i="13"/>
  <c r="E632" i="13"/>
  <c r="D632" i="13"/>
  <c r="C632" i="13"/>
  <c r="E631" i="13"/>
  <c r="D631" i="13"/>
  <c r="C631" i="13"/>
  <c r="E630" i="13"/>
  <c r="D630" i="13"/>
  <c r="C630" i="13"/>
  <c r="E629" i="13"/>
  <c r="D629" i="13"/>
  <c r="C629" i="13"/>
  <c r="E628" i="13"/>
  <c r="D628" i="13"/>
  <c r="C628" i="13"/>
  <c r="E627" i="13"/>
  <c r="D627" i="13"/>
  <c r="C627" i="13"/>
  <c r="E626" i="13"/>
  <c r="D626" i="13"/>
  <c r="C626" i="13"/>
  <c r="E625" i="13"/>
  <c r="D625" i="13"/>
  <c r="C625" i="13"/>
  <c r="E624" i="13"/>
  <c r="D624" i="13"/>
  <c r="C624" i="13"/>
  <c r="E623" i="13"/>
  <c r="D623" i="13"/>
  <c r="C623" i="13"/>
  <c r="E622" i="13"/>
  <c r="D622" i="13"/>
  <c r="C622" i="13"/>
  <c r="E621" i="13"/>
  <c r="D621" i="13"/>
  <c r="C621" i="13"/>
  <c r="E620" i="13"/>
  <c r="D620" i="13"/>
  <c r="C620" i="13"/>
  <c r="E619" i="13"/>
  <c r="D619" i="13"/>
  <c r="C619" i="13"/>
  <c r="E618" i="13"/>
  <c r="D618" i="13"/>
  <c r="C618" i="13"/>
  <c r="E617" i="13"/>
  <c r="D617" i="13"/>
  <c r="C617" i="13"/>
  <c r="E616" i="13"/>
  <c r="D616" i="13"/>
  <c r="C616" i="13"/>
  <c r="E615" i="13"/>
  <c r="D615" i="13"/>
  <c r="C615" i="13"/>
  <c r="E614" i="13"/>
  <c r="D614" i="13"/>
  <c r="C614" i="13"/>
  <c r="E613" i="13"/>
  <c r="D613" i="13"/>
  <c r="C613" i="13"/>
  <c r="E612" i="13"/>
  <c r="D612" i="13"/>
  <c r="C612" i="13"/>
  <c r="E611" i="13"/>
  <c r="D611" i="13"/>
  <c r="C611" i="13"/>
  <c r="E610" i="13"/>
  <c r="D610" i="13"/>
  <c r="C610" i="13"/>
  <c r="E609" i="13"/>
  <c r="D609" i="13"/>
  <c r="C609" i="13"/>
  <c r="E608" i="13"/>
  <c r="D608" i="13"/>
  <c r="C608" i="13"/>
  <c r="E607" i="13"/>
  <c r="D607" i="13"/>
  <c r="C607" i="13"/>
  <c r="E606" i="13"/>
  <c r="D606" i="13"/>
  <c r="C606" i="13"/>
  <c r="E605" i="13"/>
  <c r="D605" i="13"/>
  <c r="C605" i="13"/>
  <c r="E604" i="13"/>
  <c r="D604" i="13"/>
  <c r="C604" i="13"/>
  <c r="E603" i="13"/>
  <c r="D603" i="13"/>
  <c r="C603" i="13"/>
  <c r="E602" i="13"/>
  <c r="D602" i="13"/>
  <c r="C602" i="13"/>
  <c r="E601" i="13"/>
  <c r="D601" i="13"/>
  <c r="C601" i="13"/>
  <c r="E600" i="13"/>
  <c r="D600" i="13"/>
  <c r="C600" i="13"/>
  <c r="E599" i="13"/>
  <c r="D599" i="13"/>
  <c r="C599" i="13"/>
  <c r="E598" i="13"/>
  <c r="D598" i="13"/>
  <c r="C598" i="13"/>
  <c r="E597" i="13"/>
  <c r="D597" i="13"/>
  <c r="C597" i="13"/>
  <c r="E596" i="13"/>
  <c r="D596" i="13"/>
  <c r="C596" i="13"/>
  <c r="E595" i="13"/>
  <c r="D595" i="13"/>
  <c r="C595" i="13"/>
  <c r="E594" i="13"/>
  <c r="D594" i="13"/>
  <c r="C594" i="13"/>
  <c r="E593" i="13"/>
  <c r="D593" i="13"/>
  <c r="C593" i="13"/>
  <c r="E592" i="13"/>
  <c r="D592" i="13"/>
  <c r="C592" i="13"/>
  <c r="E591" i="13"/>
  <c r="D591" i="13"/>
  <c r="C591" i="13"/>
  <c r="E590" i="13"/>
  <c r="D590" i="13"/>
  <c r="C590" i="13"/>
  <c r="E589" i="13"/>
  <c r="D589" i="13"/>
  <c r="C589" i="13"/>
  <c r="E588" i="13"/>
  <c r="D588" i="13"/>
  <c r="C588" i="13"/>
  <c r="E587" i="13"/>
  <c r="D587" i="13"/>
  <c r="C587" i="13"/>
  <c r="E586" i="13"/>
  <c r="D586" i="13"/>
  <c r="C586" i="13"/>
  <c r="E585" i="13"/>
  <c r="D585" i="13"/>
  <c r="C585" i="13"/>
  <c r="E584" i="13"/>
  <c r="D584" i="13"/>
  <c r="C584" i="13"/>
  <c r="E583" i="13"/>
  <c r="D583" i="13"/>
  <c r="C583" i="13"/>
  <c r="E582" i="13"/>
  <c r="D582" i="13"/>
  <c r="C582" i="13"/>
  <c r="E581" i="13"/>
  <c r="D581" i="13"/>
  <c r="C581" i="13"/>
  <c r="E580" i="13"/>
  <c r="D580" i="13"/>
  <c r="C580" i="13"/>
  <c r="E579" i="13"/>
  <c r="D579" i="13"/>
  <c r="C579" i="13"/>
  <c r="E578" i="13"/>
  <c r="D578" i="13"/>
  <c r="C578" i="13"/>
  <c r="E577" i="13"/>
  <c r="D577" i="13"/>
  <c r="C577" i="13"/>
  <c r="E576" i="13"/>
  <c r="D576" i="13"/>
  <c r="C576" i="13"/>
  <c r="E575" i="13"/>
  <c r="D575" i="13"/>
  <c r="C575" i="13"/>
  <c r="E574" i="13"/>
  <c r="D574" i="13"/>
  <c r="C574" i="13"/>
  <c r="E573" i="13"/>
  <c r="D573" i="13"/>
  <c r="C573" i="13"/>
  <c r="E572" i="13"/>
  <c r="D572" i="13"/>
  <c r="C572" i="13"/>
  <c r="E571" i="13"/>
  <c r="D571" i="13"/>
  <c r="C571" i="13"/>
  <c r="E570" i="13"/>
  <c r="D570" i="13"/>
  <c r="C570" i="13"/>
  <c r="E569" i="13"/>
  <c r="D569" i="13"/>
  <c r="C569" i="13"/>
  <c r="E568" i="13"/>
  <c r="D568" i="13"/>
  <c r="C568" i="13"/>
  <c r="E567" i="13"/>
  <c r="D567" i="13"/>
  <c r="C567" i="13"/>
  <c r="E566" i="13"/>
  <c r="D566" i="13"/>
  <c r="C566" i="13"/>
  <c r="E565" i="13"/>
  <c r="D565" i="13"/>
  <c r="C565" i="13"/>
  <c r="E564" i="13"/>
  <c r="D564" i="13"/>
  <c r="C564" i="13"/>
  <c r="E563" i="13"/>
  <c r="D563" i="13"/>
  <c r="C563" i="13"/>
  <c r="E562" i="13"/>
  <c r="D562" i="13"/>
  <c r="C562" i="13"/>
  <c r="E561" i="13"/>
  <c r="D561" i="13"/>
  <c r="C561" i="13"/>
  <c r="E560" i="13"/>
  <c r="D560" i="13"/>
  <c r="C560" i="13"/>
  <c r="E559" i="13"/>
  <c r="D559" i="13"/>
  <c r="C559" i="13"/>
  <c r="E558" i="13"/>
  <c r="D558" i="13"/>
  <c r="C558" i="13"/>
  <c r="E557" i="13"/>
  <c r="D557" i="13"/>
  <c r="C557" i="13"/>
  <c r="E556" i="13"/>
  <c r="D556" i="13"/>
  <c r="C556" i="13"/>
  <c r="E555" i="13"/>
  <c r="D555" i="13"/>
  <c r="C555" i="13"/>
  <c r="E554" i="13"/>
  <c r="D554" i="13"/>
  <c r="C554" i="13"/>
  <c r="E553" i="13"/>
  <c r="D553" i="13"/>
  <c r="C553" i="13"/>
  <c r="E552" i="13"/>
  <c r="D552" i="13"/>
  <c r="C552" i="13"/>
  <c r="E551" i="13"/>
  <c r="D551" i="13"/>
  <c r="C551" i="13"/>
  <c r="E550" i="13"/>
  <c r="D550" i="13"/>
  <c r="C550" i="13"/>
  <c r="E549" i="13"/>
  <c r="D549" i="13"/>
  <c r="C549" i="13"/>
  <c r="E548" i="13"/>
  <c r="D548" i="13"/>
  <c r="C548" i="13"/>
  <c r="E547" i="13"/>
  <c r="D547" i="13"/>
  <c r="C547" i="13"/>
  <c r="E546" i="13"/>
  <c r="D546" i="13"/>
  <c r="C546" i="13"/>
  <c r="E545" i="13"/>
  <c r="D545" i="13"/>
  <c r="C545" i="13"/>
  <c r="E544" i="13"/>
  <c r="D544" i="13"/>
  <c r="C544" i="13"/>
  <c r="E543" i="13"/>
  <c r="D543" i="13"/>
  <c r="C543" i="13"/>
  <c r="E542" i="13"/>
  <c r="D542" i="13"/>
  <c r="C542" i="13"/>
  <c r="E541" i="13"/>
  <c r="D541" i="13"/>
  <c r="C541" i="13"/>
  <c r="E540" i="13"/>
  <c r="D540" i="13"/>
  <c r="C540" i="13"/>
  <c r="E539" i="13"/>
  <c r="D539" i="13"/>
  <c r="C539" i="13"/>
  <c r="E538" i="13"/>
  <c r="D538" i="13"/>
  <c r="C538" i="13"/>
  <c r="E537" i="13"/>
  <c r="D537" i="13"/>
  <c r="C537" i="13"/>
  <c r="E536" i="13"/>
  <c r="D536" i="13"/>
  <c r="C536" i="13"/>
  <c r="E535" i="13"/>
  <c r="D535" i="13"/>
  <c r="C535" i="13"/>
  <c r="E534" i="13"/>
  <c r="D534" i="13"/>
  <c r="C534" i="13"/>
  <c r="E533" i="13"/>
  <c r="D533" i="13"/>
  <c r="C533" i="13"/>
  <c r="E532" i="13"/>
  <c r="D532" i="13"/>
  <c r="C532" i="13"/>
  <c r="E531" i="13"/>
  <c r="D531" i="13"/>
  <c r="C531" i="13"/>
  <c r="E530" i="13"/>
  <c r="D530" i="13"/>
  <c r="C530" i="13"/>
  <c r="E529" i="13"/>
  <c r="D529" i="13"/>
  <c r="C529" i="13"/>
  <c r="E528" i="13"/>
  <c r="D528" i="13"/>
  <c r="C528" i="13"/>
  <c r="E527" i="13"/>
  <c r="D527" i="13"/>
  <c r="C527" i="13"/>
  <c r="E526" i="13"/>
  <c r="D526" i="13"/>
  <c r="C526" i="13"/>
  <c r="E525" i="13"/>
  <c r="D525" i="13"/>
  <c r="C525" i="13"/>
  <c r="E524" i="13"/>
  <c r="D524" i="13"/>
  <c r="C524" i="13"/>
  <c r="E523" i="13"/>
  <c r="D523" i="13"/>
  <c r="C523" i="13"/>
  <c r="E522" i="13"/>
  <c r="D522" i="13"/>
  <c r="C522" i="13"/>
  <c r="E521" i="13"/>
  <c r="D521" i="13"/>
  <c r="C521" i="13"/>
  <c r="E520" i="13"/>
  <c r="D520" i="13"/>
  <c r="C520" i="13"/>
  <c r="E519" i="13"/>
  <c r="D519" i="13"/>
  <c r="C519" i="13"/>
  <c r="E518" i="13"/>
  <c r="D518" i="13"/>
  <c r="C518" i="13"/>
  <c r="E517" i="13"/>
  <c r="D517" i="13"/>
  <c r="C517" i="13"/>
  <c r="E516" i="13"/>
  <c r="D516" i="13"/>
  <c r="C516" i="13"/>
  <c r="E515" i="13"/>
  <c r="D515" i="13"/>
  <c r="C515" i="13"/>
  <c r="E514" i="13"/>
  <c r="D514" i="13"/>
  <c r="C514" i="13"/>
  <c r="E513" i="13"/>
  <c r="D513" i="13"/>
  <c r="C513" i="13"/>
  <c r="E512" i="13"/>
  <c r="D512" i="13"/>
  <c r="C512" i="13"/>
  <c r="E511" i="13"/>
  <c r="D511" i="13"/>
  <c r="C511" i="13"/>
  <c r="E510" i="13"/>
  <c r="D510" i="13"/>
  <c r="C510" i="13"/>
  <c r="E509" i="13"/>
  <c r="D509" i="13"/>
  <c r="C509" i="13"/>
  <c r="E508" i="13"/>
  <c r="D508" i="13"/>
  <c r="C508" i="13"/>
  <c r="E507" i="13"/>
  <c r="D507" i="13"/>
  <c r="C507" i="13"/>
  <c r="E506" i="13"/>
  <c r="D506" i="13"/>
  <c r="C506" i="13"/>
  <c r="E505" i="13"/>
  <c r="D505" i="13"/>
  <c r="C505" i="13"/>
  <c r="E504" i="13"/>
  <c r="D504" i="13"/>
  <c r="C504" i="13"/>
  <c r="E503" i="13"/>
  <c r="D503" i="13"/>
  <c r="C503" i="13"/>
  <c r="E502" i="13"/>
  <c r="D502" i="13"/>
  <c r="C502" i="13"/>
  <c r="E501" i="13"/>
  <c r="D501" i="13"/>
  <c r="C501" i="13"/>
  <c r="E500" i="13"/>
  <c r="D500" i="13"/>
  <c r="C500" i="13"/>
  <c r="E499" i="13"/>
  <c r="D499" i="13"/>
  <c r="C499" i="13"/>
  <c r="E498" i="13"/>
  <c r="D498" i="13"/>
  <c r="C498" i="13"/>
  <c r="E497" i="13"/>
  <c r="D497" i="13"/>
  <c r="C497" i="13"/>
  <c r="E496" i="13"/>
  <c r="D496" i="13"/>
  <c r="C496" i="13"/>
  <c r="E495" i="13"/>
  <c r="D495" i="13"/>
  <c r="C495" i="13"/>
  <c r="E494" i="13"/>
  <c r="D494" i="13"/>
  <c r="C494" i="13"/>
  <c r="E493" i="13"/>
  <c r="D493" i="13"/>
  <c r="C493" i="13"/>
  <c r="E492" i="13"/>
  <c r="D492" i="13"/>
  <c r="C492" i="13"/>
  <c r="E491" i="13"/>
  <c r="D491" i="13"/>
  <c r="C491" i="13"/>
  <c r="E490" i="13"/>
  <c r="D490" i="13"/>
  <c r="C490" i="13"/>
  <c r="E489" i="13"/>
  <c r="D489" i="13"/>
  <c r="C489" i="13"/>
  <c r="E488" i="13"/>
  <c r="D488" i="13"/>
  <c r="C488" i="13"/>
  <c r="E487" i="13"/>
  <c r="D487" i="13"/>
  <c r="C487" i="13"/>
  <c r="E486" i="13"/>
  <c r="D486" i="13"/>
  <c r="C486" i="13"/>
  <c r="E485" i="13"/>
  <c r="D485" i="13"/>
  <c r="C485" i="13"/>
  <c r="E484" i="13"/>
  <c r="D484" i="13"/>
  <c r="C484" i="13"/>
  <c r="E483" i="13"/>
  <c r="D483" i="13"/>
  <c r="C483" i="13"/>
  <c r="E482" i="13"/>
  <c r="D482" i="13"/>
  <c r="C482" i="13"/>
  <c r="E481" i="13"/>
  <c r="D481" i="13"/>
  <c r="C481" i="13"/>
  <c r="E480" i="13"/>
  <c r="D480" i="13"/>
  <c r="C480" i="13"/>
  <c r="E479" i="13"/>
  <c r="D479" i="13"/>
  <c r="C479" i="13"/>
  <c r="E478" i="13"/>
  <c r="D478" i="13"/>
  <c r="C478" i="13"/>
  <c r="E477" i="13"/>
  <c r="D477" i="13"/>
  <c r="C477" i="13"/>
  <c r="E476" i="13"/>
  <c r="D476" i="13"/>
  <c r="C476" i="13"/>
  <c r="E475" i="13"/>
  <c r="D475" i="13"/>
  <c r="C475" i="13"/>
  <c r="E474" i="13"/>
  <c r="D474" i="13"/>
  <c r="C474" i="13"/>
  <c r="E473" i="13"/>
  <c r="D473" i="13"/>
  <c r="C473" i="13"/>
  <c r="E472" i="13"/>
  <c r="D472" i="13"/>
  <c r="C472" i="13"/>
  <c r="E471" i="13"/>
  <c r="D471" i="13"/>
  <c r="C471" i="13"/>
  <c r="E470" i="13"/>
  <c r="D470" i="13"/>
  <c r="C470" i="13"/>
  <c r="E469" i="13"/>
  <c r="D469" i="13"/>
  <c r="C469" i="13"/>
  <c r="E468" i="13"/>
  <c r="D468" i="13"/>
  <c r="C468" i="13"/>
  <c r="E467" i="13"/>
  <c r="D467" i="13"/>
  <c r="C467" i="13"/>
  <c r="E466" i="13"/>
  <c r="D466" i="13"/>
  <c r="C466" i="13"/>
  <c r="E465" i="13"/>
  <c r="D465" i="13"/>
  <c r="C465" i="13"/>
  <c r="E464" i="13"/>
  <c r="D464" i="13"/>
  <c r="C464" i="13"/>
  <c r="E463" i="13"/>
  <c r="D463" i="13"/>
  <c r="C463" i="13"/>
  <c r="E462" i="13"/>
  <c r="D462" i="13"/>
  <c r="C462" i="13"/>
  <c r="E461" i="13"/>
  <c r="D461" i="13"/>
  <c r="C461" i="13"/>
  <c r="E460" i="13"/>
  <c r="D460" i="13"/>
  <c r="C460" i="13"/>
  <c r="E459" i="13"/>
  <c r="D459" i="13"/>
  <c r="C459" i="13"/>
  <c r="E458" i="13"/>
  <c r="D458" i="13"/>
  <c r="C458" i="13"/>
  <c r="E457" i="13"/>
  <c r="D457" i="13"/>
  <c r="C457" i="13"/>
  <c r="E456" i="13"/>
  <c r="D456" i="13"/>
  <c r="C456" i="13"/>
  <c r="E455" i="13"/>
  <c r="D455" i="13"/>
  <c r="C455" i="13"/>
  <c r="E454" i="13"/>
  <c r="D454" i="13"/>
  <c r="C454" i="13"/>
  <c r="E453" i="13"/>
  <c r="D453" i="13"/>
  <c r="C453" i="13"/>
  <c r="E452" i="13"/>
  <c r="D452" i="13"/>
  <c r="C452" i="13"/>
  <c r="E451" i="13"/>
  <c r="D451" i="13"/>
  <c r="C451" i="13"/>
  <c r="E450" i="13"/>
  <c r="D450" i="13"/>
  <c r="C450" i="13"/>
  <c r="E449" i="13"/>
  <c r="D449" i="13"/>
  <c r="C449" i="13"/>
  <c r="E448" i="13"/>
  <c r="D448" i="13"/>
  <c r="C448" i="13"/>
  <c r="E447" i="13"/>
  <c r="D447" i="13"/>
  <c r="C447" i="13"/>
  <c r="E446" i="13"/>
  <c r="D446" i="13"/>
  <c r="C446" i="13"/>
  <c r="E445" i="13"/>
  <c r="D445" i="13"/>
  <c r="C445" i="13"/>
  <c r="E444" i="13"/>
  <c r="D444" i="13"/>
  <c r="C444" i="13"/>
  <c r="E443" i="13"/>
  <c r="D443" i="13"/>
  <c r="C443" i="13"/>
  <c r="E442" i="13"/>
  <c r="D442" i="13"/>
  <c r="C442" i="13"/>
  <c r="E441" i="13"/>
  <c r="D441" i="13"/>
  <c r="C441" i="13"/>
  <c r="E440" i="13"/>
  <c r="D440" i="13"/>
  <c r="C440" i="13"/>
  <c r="E439" i="13"/>
  <c r="D439" i="13"/>
  <c r="C439" i="13"/>
  <c r="E438" i="13"/>
  <c r="D438" i="13"/>
  <c r="C438" i="13"/>
  <c r="E437" i="13"/>
  <c r="D437" i="13"/>
  <c r="C437" i="13"/>
  <c r="E436" i="13"/>
  <c r="D436" i="13"/>
  <c r="C436" i="13"/>
  <c r="E435" i="13"/>
  <c r="D435" i="13"/>
  <c r="C435" i="13"/>
  <c r="E434" i="13"/>
  <c r="D434" i="13"/>
  <c r="C434" i="13"/>
  <c r="E433" i="13"/>
  <c r="D433" i="13"/>
  <c r="C433" i="13"/>
  <c r="E432" i="13"/>
  <c r="D432" i="13"/>
  <c r="C432" i="13"/>
  <c r="E431" i="13"/>
  <c r="D431" i="13"/>
  <c r="C431" i="13"/>
  <c r="E430" i="13"/>
  <c r="D430" i="13"/>
  <c r="C430" i="13"/>
  <c r="E429" i="13"/>
  <c r="D429" i="13"/>
  <c r="C429" i="13"/>
  <c r="E428" i="13"/>
  <c r="D428" i="13"/>
  <c r="C428" i="13"/>
  <c r="E427" i="13"/>
  <c r="D427" i="13"/>
  <c r="C427" i="13"/>
  <c r="E426" i="13"/>
  <c r="D426" i="13"/>
  <c r="C426" i="13"/>
  <c r="E425" i="13"/>
  <c r="D425" i="13"/>
  <c r="C425" i="13"/>
  <c r="E424" i="13"/>
  <c r="D424" i="13"/>
  <c r="C424" i="13"/>
  <c r="E423" i="13"/>
  <c r="D423" i="13"/>
  <c r="C423" i="13"/>
  <c r="E422" i="13"/>
  <c r="D422" i="13"/>
  <c r="C422" i="13"/>
  <c r="E421" i="13"/>
  <c r="D421" i="13"/>
  <c r="C421" i="13"/>
  <c r="E420" i="13"/>
  <c r="D420" i="13"/>
  <c r="C420" i="13"/>
  <c r="E419" i="13"/>
  <c r="D419" i="13"/>
  <c r="C419" i="13"/>
  <c r="E418" i="13"/>
  <c r="D418" i="13"/>
  <c r="C418" i="13"/>
  <c r="E417" i="13"/>
  <c r="D417" i="13"/>
  <c r="C417" i="13"/>
  <c r="E416" i="13"/>
  <c r="D416" i="13"/>
  <c r="C416" i="13"/>
  <c r="E415" i="13"/>
  <c r="D415" i="13"/>
  <c r="C415" i="13"/>
  <c r="E414" i="13"/>
  <c r="D414" i="13"/>
  <c r="C414" i="13"/>
  <c r="E413" i="13"/>
  <c r="D413" i="13"/>
  <c r="C413" i="13"/>
  <c r="E412" i="13"/>
  <c r="D412" i="13"/>
  <c r="C412" i="13"/>
  <c r="E411" i="13"/>
  <c r="D411" i="13"/>
  <c r="C411" i="13"/>
  <c r="E410" i="13"/>
  <c r="D410" i="13"/>
  <c r="C410" i="13"/>
  <c r="E409" i="13"/>
  <c r="D409" i="13"/>
  <c r="C409" i="13"/>
  <c r="E408" i="13"/>
  <c r="D408" i="13"/>
  <c r="C408" i="13"/>
  <c r="E407" i="13"/>
  <c r="D407" i="13"/>
  <c r="C407" i="13"/>
  <c r="E406" i="13"/>
  <c r="D406" i="13"/>
  <c r="C406" i="13"/>
  <c r="E405" i="13"/>
  <c r="D405" i="13"/>
  <c r="C405" i="13"/>
  <c r="E404" i="13"/>
  <c r="D404" i="13"/>
  <c r="C404" i="13"/>
  <c r="E403" i="13"/>
  <c r="D403" i="13"/>
  <c r="C403" i="13"/>
  <c r="E402" i="13"/>
  <c r="D402" i="13"/>
  <c r="C402" i="13"/>
  <c r="E401" i="13"/>
  <c r="D401" i="13"/>
  <c r="C401" i="13"/>
  <c r="E400" i="13"/>
  <c r="D400" i="13"/>
  <c r="C400" i="13"/>
  <c r="E399" i="13"/>
  <c r="D399" i="13"/>
  <c r="C399" i="13"/>
  <c r="E398" i="13"/>
  <c r="D398" i="13"/>
  <c r="C398" i="13"/>
  <c r="E397" i="13"/>
  <c r="D397" i="13"/>
  <c r="C397" i="13"/>
  <c r="E396" i="13"/>
  <c r="D396" i="13"/>
  <c r="C396" i="13"/>
  <c r="E395" i="13"/>
  <c r="D395" i="13"/>
  <c r="C395" i="13"/>
  <c r="E394" i="13"/>
  <c r="D394" i="13"/>
  <c r="C394" i="13"/>
  <c r="E393" i="13"/>
  <c r="D393" i="13"/>
  <c r="C393" i="13"/>
  <c r="E392" i="13"/>
  <c r="D392" i="13"/>
  <c r="C392" i="13"/>
  <c r="E391" i="13"/>
  <c r="D391" i="13"/>
  <c r="C391" i="13"/>
  <c r="E390" i="13"/>
  <c r="D390" i="13"/>
  <c r="C390" i="13"/>
  <c r="E389" i="13"/>
  <c r="D389" i="13"/>
  <c r="C389" i="13"/>
  <c r="E388" i="13"/>
  <c r="D388" i="13"/>
  <c r="C388" i="13"/>
  <c r="E387" i="13"/>
  <c r="D387" i="13"/>
  <c r="C387" i="13"/>
  <c r="E386" i="13"/>
  <c r="D386" i="13"/>
  <c r="C386" i="13"/>
  <c r="E385" i="13"/>
  <c r="D385" i="13"/>
  <c r="C385" i="13"/>
  <c r="E384" i="13"/>
  <c r="D384" i="13"/>
  <c r="C384" i="13"/>
  <c r="E383" i="13"/>
  <c r="D383" i="13"/>
  <c r="C383" i="13"/>
  <c r="E382" i="13"/>
  <c r="D382" i="13"/>
  <c r="C382" i="13"/>
  <c r="E381" i="13"/>
  <c r="D381" i="13"/>
  <c r="C381" i="13"/>
  <c r="E380" i="13"/>
  <c r="D380" i="13"/>
  <c r="C380" i="13"/>
  <c r="E379" i="13"/>
  <c r="D379" i="13"/>
  <c r="C379" i="13"/>
  <c r="E378" i="13"/>
  <c r="D378" i="13"/>
  <c r="C378" i="13"/>
  <c r="E377" i="13"/>
  <c r="D377" i="13"/>
  <c r="C377" i="13"/>
  <c r="E376" i="13"/>
  <c r="D376" i="13"/>
  <c r="C376" i="13"/>
  <c r="E375" i="13"/>
  <c r="D375" i="13"/>
  <c r="C375" i="13"/>
  <c r="E374" i="13"/>
  <c r="D374" i="13"/>
  <c r="C374" i="13"/>
  <c r="E373" i="13"/>
  <c r="D373" i="13"/>
  <c r="C373" i="13"/>
  <c r="E372" i="13"/>
  <c r="D372" i="13"/>
  <c r="C372" i="13"/>
  <c r="E371" i="13"/>
  <c r="D371" i="13"/>
  <c r="C371" i="13"/>
  <c r="E370" i="13"/>
  <c r="D370" i="13"/>
  <c r="C370" i="13"/>
  <c r="E369" i="13"/>
  <c r="D369" i="13"/>
  <c r="C369" i="13"/>
  <c r="E368" i="13"/>
  <c r="D368" i="13"/>
  <c r="C368" i="13"/>
  <c r="E367" i="13"/>
  <c r="D367" i="13"/>
  <c r="C367" i="13"/>
  <c r="E366" i="13"/>
  <c r="D366" i="13"/>
  <c r="C366" i="13"/>
  <c r="E365" i="13"/>
  <c r="D365" i="13"/>
  <c r="C365" i="13"/>
  <c r="E364" i="13"/>
  <c r="D364" i="13"/>
  <c r="C364" i="13"/>
  <c r="E363" i="13"/>
  <c r="D363" i="13"/>
  <c r="C363" i="13"/>
  <c r="E362" i="13"/>
  <c r="D362" i="13"/>
  <c r="C362" i="13"/>
  <c r="E361" i="13"/>
  <c r="D361" i="13"/>
  <c r="C361" i="13"/>
  <c r="E360" i="13"/>
  <c r="D360" i="13"/>
  <c r="C360" i="13"/>
  <c r="E359" i="13"/>
  <c r="D359" i="13"/>
  <c r="C359" i="13"/>
  <c r="E358" i="13"/>
  <c r="D358" i="13"/>
  <c r="C358" i="13"/>
  <c r="E357" i="13"/>
  <c r="D357" i="13"/>
  <c r="C357" i="13"/>
  <c r="E356" i="13"/>
  <c r="D356" i="13"/>
  <c r="C356" i="13"/>
  <c r="E355" i="13"/>
  <c r="D355" i="13"/>
  <c r="C355" i="13"/>
  <c r="E354" i="13"/>
  <c r="D354" i="13"/>
  <c r="C354" i="13"/>
  <c r="E353" i="13"/>
  <c r="D353" i="13"/>
  <c r="C353" i="13"/>
  <c r="E352" i="13"/>
  <c r="D352" i="13"/>
  <c r="C352" i="13"/>
  <c r="E351" i="13"/>
  <c r="D351" i="13"/>
  <c r="C351" i="13"/>
  <c r="E350" i="13"/>
  <c r="D350" i="13"/>
  <c r="C350" i="13"/>
  <c r="E349" i="13"/>
  <c r="D349" i="13"/>
  <c r="C349" i="13"/>
  <c r="E348" i="13"/>
  <c r="D348" i="13"/>
  <c r="C348" i="13"/>
  <c r="E347" i="13"/>
  <c r="D347" i="13"/>
  <c r="C347" i="13"/>
  <c r="E346" i="13"/>
  <c r="D346" i="13"/>
  <c r="C346" i="13"/>
  <c r="E345" i="13"/>
  <c r="D345" i="13"/>
  <c r="C345" i="13"/>
  <c r="E344" i="13"/>
  <c r="D344" i="13"/>
  <c r="C344" i="13"/>
  <c r="E343" i="13"/>
  <c r="D343" i="13"/>
  <c r="C343" i="13"/>
  <c r="E342" i="13"/>
  <c r="D342" i="13"/>
  <c r="C342" i="13"/>
  <c r="E341" i="13"/>
  <c r="D341" i="13"/>
  <c r="C341" i="13"/>
  <c r="E340" i="13"/>
  <c r="D340" i="13"/>
  <c r="C340" i="13"/>
  <c r="E339" i="13"/>
  <c r="D339" i="13"/>
  <c r="C339" i="13"/>
  <c r="E338" i="13"/>
  <c r="D338" i="13"/>
  <c r="C338" i="13"/>
  <c r="E337" i="13"/>
  <c r="D337" i="13"/>
  <c r="C337" i="13"/>
  <c r="E336" i="13"/>
  <c r="D336" i="13"/>
  <c r="C336" i="13"/>
  <c r="E335" i="13"/>
  <c r="D335" i="13"/>
  <c r="C335" i="13"/>
  <c r="E334" i="13"/>
  <c r="D334" i="13"/>
  <c r="C334" i="13"/>
  <c r="E333" i="13"/>
  <c r="D333" i="13"/>
  <c r="C333" i="13"/>
  <c r="E332" i="13"/>
  <c r="D332" i="13"/>
  <c r="C332" i="13"/>
  <c r="E331" i="13"/>
  <c r="D331" i="13"/>
  <c r="C331" i="13"/>
  <c r="E330" i="13"/>
  <c r="D330" i="13"/>
  <c r="C330" i="13"/>
  <c r="E329" i="13"/>
  <c r="D329" i="13"/>
  <c r="C329" i="13"/>
  <c r="E328" i="13"/>
  <c r="D328" i="13"/>
  <c r="C328" i="13"/>
  <c r="E327" i="13"/>
  <c r="D327" i="13"/>
  <c r="C327" i="13"/>
  <c r="E326" i="13"/>
  <c r="D326" i="13"/>
  <c r="C326" i="13"/>
  <c r="E325" i="13"/>
  <c r="D325" i="13"/>
  <c r="C325" i="13"/>
  <c r="E324" i="13"/>
  <c r="D324" i="13"/>
  <c r="C324" i="13"/>
  <c r="E323" i="13"/>
  <c r="D323" i="13"/>
  <c r="C323" i="13"/>
  <c r="E322" i="13"/>
  <c r="D322" i="13"/>
  <c r="C322" i="13"/>
  <c r="E321" i="13"/>
  <c r="D321" i="13"/>
  <c r="C321" i="13"/>
  <c r="E320" i="13"/>
  <c r="D320" i="13"/>
  <c r="C320" i="13"/>
  <c r="E319" i="13"/>
  <c r="D319" i="13"/>
  <c r="C319" i="13"/>
  <c r="E318" i="13"/>
  <c r="D318" i="13"/>
  <c r="C318" i="13"/>
  <c r="E317" i="13"/>
  <c r="D317" i="13"/>
  <c r="C317" i="13"/>
  <c r="E316" i="13"/>
  <c r="D316" i="13"/>
  <c r="C316" i="13"/>
  <c r="E315" i="13"/>
  <c r="D315" i="13"/>
  <c r="C315" i="13"/>
  <c r="E314" i="13"/>
  <c r="D314" i="13"/>
  <c r="C314" i="13"/>
  <c r="E313" i="13"/>
  <c r="D313" i="13"/>
  <c r="C313" i="13"/>
  <c r="E312" i="13"/>
  <c r="D312" i="13"/>
  <c r="C312" i="13"/>
  <c r="E311" i="13"/>
  <c r="D311" i="13"/>
  <c r="C311" i="13"/>
  <c r="E310" i="13"/>
  <c r="D310" i="13"/>
  <c r="C310" i="13"/>
  <c r="E309" i="13"/>
  <c r="D309" i="13"/>
  <c r="C309" i="13"/>
  <c r="E308" i="13"/>
  <c r="D308" i="13"/>
  <c r="C308" i="13"/>
  <c r="E307" i="13"/>
  <c r="D307" i="13"/>
  <c r="C307" i="13"/>
  <c r="E306" i="13"/>
  <c r="D306" i="13"/>
  <c r="C306" i="13"/>
  <c r="E305" i="13"/>
  <c r="D305" i="13"/>
  <c r="C305" i="13"/>
  <c r="E304" i="13"/>
  <c r="D304" i="13"/>
  <c r="C304" i="13"/>
  <c r="E303" i="13"/>
  <c r="D303" i="13"/>
  <c r="C303" i="13"/>
  <c r="E302" i="13"/>
  <c r="D302" i="13"/>
  <c r="C302" i="13"/>
  <c r="E301" i="13"/>
  <c r="D301" i="13"/>
  <c r="C301" i="13"/>
  <c r="E300" i="13"/>
  <c r="D300" i="13"/>
  <c r="C300" i="13"/>
  <c r="E299" i="13"/>
  <c r="D299" i="13"/>
  <c r="C299" i="13"/>
  <c r="E298" i="13"/>
  <c r="D298" i="13"/>
  <c r="C298" i="13"/>
  <c r="E297" i="13"/>
  <c r="D297" i="13"/>
  <c r="C297" i="13"/>
  <c r="E296" i="13"/>
  <c r="D296" i="13"/>
  <c r="C296" i="13"/>
  <c r="E295" i="13"/>
  <c r="D295" i="13"/>
  <c r="C295" i="13"/>
  <c r="E294" i="13"/>
  <c r="D294" i="13"/>
  <c r="C294" i="13"/>
  <c r="E293" i="13"/>
  <c r="D293" i="13"/>
  <c r="C293" i="13"/>
  <c r="E292" i="13"/>
  <c r="D292" i="13"/>
  <c r="C292" i="13"/>
  <c r="E291" i="13"/>
  <c r="D291" i="13"/>
  <c r="C291" i="13"/>
  <c r="E290" i="13"/>
  <c r="D290" i="13"/>
  <c r="C290" i="13"/>
  <c r="E289" i="13"/>
  <c r="D289" i="13"/>
  <c r="C289" i="13"/>
  <c r="E288" i="13"/>
  <c r="D288" i="13"/>
  <c r="C288" i="13"/>
  <c r="E287" i="13"/>
  <c r="D287" i="13"/>
  <c r="C287" i="13"/>
  <c r="E286" i="13"/>
  <c r="D286" i="13"/>
  <c r="C286" i="13"/>
  <c r="E285" i="13"/>
  <c r="D285" i="13"/>
  <c r="C285" i="13"/>
  <c r="E284" i="13"/>
  <c r="D284" i="13"/>
  <c r="C284" i="13"/>
  <c r="E283" i="13"/>
  <c r="D283" i="13"/>
  <c r="C283" i="13"/>
  <c r="E282" i="13"/>
  <c r="D282" i="13"/>
  <c r="C282" i="13"/>
  <c r="E281" i="13"/>
  <c r="D281" i="13"/>
  <c r="C281" i="13"/>
  <c r="E280" i="13"/>
  <c r="D280" i="13"/>
  <c r="C280" i="13"/>
  <c r="E279" i="13"/>
  <c r="D279" i="13"/>
  <c r="C279" i="13"/>
  <c r="E278" i="13"/>
  <c r="D278" i="13"/>
  <c r="C278" i="13"/>
  <c r="E277" i="13"/>
  <c r="D277" i="13"/>
  <c r="C277" i="13"/>
  <c r="E276" i="13"/>
  <c r="D276" i="13"/>
  <c r="C276" i="13"/>
  <c r="E275" i="13"/>
  <c r="D275" i="13"/>
  <c r="C275" i="13"/>
  <c r="E274" i="13"/>
  <c r="D274" i="13"/>
  <c r="C274" i="13"/>
  <c r="E273" i="13"/>
  <c r="D273" i="13"/>
  <c r="C273" i="13"/>
  <c r="E272" i="13"/>
  <c r="D272" i="13"/>
  <c r="C272" i="13"/>
  <c r="E271" i="13"/>
  <c r="D271" i="13"/>
  <c r="C271" i="13"/>
  <c r="E270" i="13"/>
  <c r="D270" i="13"/>
  <c r="C270" i="13"/>
  <c r="E269" i="13"/>
  <c r="D269" i="13"/>
  <c r="C269" i="13"/>
  <c r="E268" i="13"/>
  <c r="D268" i="13"/>
  <c r="C268" i="13"/>
  <c r="E267" i="13"/>
  <c r="D267" i="13"/>
  <c r="C267" i="13"/>
  <c r="E266" i="13"/>
  <c r="D266" i="13"/>
  <c r="C266" i="13"/>
  <c r="E265" i="13"/>
  <c r="D265" i="13"/>
  <c r="C265" i="13"/>
  <c r="E264" i="13"/>
  <c r="D264" i="13"/>
  <c r="C264" i="13"/>
  <c r="E263" i="13"/>
  <c r="D263" i="13"/>
  <c r="C263" i="13"/>
  <c r="E262" i="13"/>
  <c r="D262" i="13"/>
  <c r="C262" i="13"/>
  <c r="E261" i="13"/>
  <c r="D261" i="13"/>
  <c r="C261" i="13"/>
  <c r="E260" i="13"/>
  <c r="D260" i="13"/>
  <c r="C260" i="13"/>
  <c r="E259" i="13"/>
  <c r="D259" i="13"/>
  <c r="C259" i="13"/>
  <c r="E258" i="13"/>
  <c r="D258" i="13"/>
  <c r="C258" i="13"/>
  <c r="E257" i="13"/>
  <c r="D257" i="13"/>
  <c r="C257" i="13"/>
  <c r="E256" i="13"/>
  <c r="D256" i="13"/>
  <c r="C256" i="13"/>
  <c r="E255" i="13"/>
  <c r="D255" i="13"/>
  <c r="C255" i="13"/>
  <c r="E254" i="13"/>
  <c r="D254" i="13"/>
  <c r="C254" i="13"/>
  <c r="E253" i="13"/>
  <c r="D253" i="13"/>
  <c r="C253" i="13"/>
  <c r="E252" i="13"/>
  <c r="D252" i="13"/>
  <c r="C252" i="13"/>
  <c r="E251" i="13"/>
  <c r="D251" i="13"/>
  <c r="C251" i="13"/>
  <c r="E250" i="13"/>
  <c r="D250" i="13"/>
  <c r="C250" i="13"/>
  <c r="E249" i="13"/>
  <c r="D249" i="13"/>
  <c r="C249" i="13"/>
  <c r="E248" i="13"/>
  <c r="D248" i="13"/>
  <c r="C248" i="13"/>
  <c r="E247" i="13"/>
  <c r="D247" i="13"/>
  <c r="C247" i="13"/>
  <c r="E246" i="13"/>
  <c r="D246" i="13"/>
  <c r="C246" i="13"/>
  <c r="E245" i="13"/>
  <c r="D245" i="13"/>
  <c r="C245" i="13"/>
  <c r="E244" i="13"/>
  <c r="D244" i="13"/>
  <c r="C244" i="13"/>
  <c r="E243" i="13"/>
  <c r="D243" i="13"/>
  <c r="C243" i="13"/>
  <c r="E242" i="13"/>
  <c r="D242" i="13"/>
  <c r="C242" i="13"/>
  <c r="E241" i="13"/>
  <c r="D241" i="13"/>
  <c r="C241" i="13"/>
  <c r="E240" i="13"/>
  <c r="D240" i="13"/>
  <c r="C240" i="13"/>
  <c r="E239" i="13"/>
  <c r="D239" i="13"/>
  <c r="C239" i="13"/>
  <c r="E238" i="13"/>
  <c r="D238" i="13"/>
  <c r="C238" i="13"/>
  <c r="E237" i="13"/>
  <c r="D237" i="13"/>
  <c r="C237" i="13"/>
  <c r="E236" i="13"/>
  <c r="D236" i="13"/>
  <c r="C236" i="13"/>
  <c r="E235" i="13"/>
  <c r="D235" i="13"/>
  <c r="C235" i="13"/>
  <c r="E234" i="13"/>
  <c r="D234" i="13"/>
  <c r="C234" i="13"/>
  <c r="E233" i="13"/>
  <c r="D233" i="13"/>
  <c r="C233" i="13"/>
  <c r="E232" i="13"/>
  <c r="D232" i="13"/>
  <c r="C232" i="13"/>
  <c r="E231" i="13"/>
  <c r="D231" i="13"/>
  <c r="C231" i="13"/>
  <c r="E230" i="13"/>
  <c r="D230" i="13"/>
  <c r="C230" i="13"/>
  <c r="E229" i="13"/>
  <c r="D229" i="13"/>
  <c r="C229" i="13"/>
  <c r="E228" i="13"/>
  <c r="D228" i="13"/>
  <c r="C228" i="13"/>
  <c r="E227" i="13"/>
  <c r="D227" i="13"/>
  <c r="C227" i="13"/>
  <c r="E226" i="13"/>
  <c r="D226" i="13"/>
  <c r="C226" i="13"/>
  <c r="E225" i="13"/>
  <c r="D225" i="13"/>
  <c r="C225" i="13"/>
  <c r="E224" i="13"/>
  <c r="D224" i="13"/>
  <c r="C224" i="13"/>
  <c r="E223" i="13"/>
  <c r="D223" i="13"/>
  <c r="C223" i="13"/>
  <c r="E222" i="13"/>
  <c r="D222" i="13"/>
  <c r="C222" i="13"/>
  <c r="E221" i="13"/>
  <c r="D221" i="13"/>
  <c r="C221" i="13"/>
  <c r="E220" i="13"/>
  <c r="D220" i="13"/>
  <c r="C220" i="13"/>
  <c r="E219" i="13"/>
  <c r="D219" i="13"/>
  <c r="C219" i="13"/>
  <c r="E218" i="13"/>
  <c r="D218" i="13"/>
  <c r="C218" i="13"/>
  <c r="E217" i="13"/>
  <c r="D217" i="13"/>
  <c r="C217" i="13"/>
  <c r="E216" i="13"/>
  <c r="D216" i="13"/>
  <c r="C216" i="13"/>
  <c r="E215" i="13"/>
  <c r="D215" i="13"/>
  <c r="C215" i="13"/>
  <c r="E214" i="13"/>
  <c r="D214" i="13"/>
  <c r="C214" i="13"/>
  <c r="E213" i="13"/>
  <c r="D213" i="13"/>
  <c r="C213" i="13"/>
  <c r="E212" i="13"/>
  <c r="D212" i="13"/>
  <c r="C212" i="13"/>
  <c r="E211" i="13"/>
  <c r="D211" i="13"/>
  <c r="C211" i="13"/>
  <c r="E210" i="13"/>
  <c r="D210" i="13"/>
  <c r="C210" i="13"/>
  <c r="E209" i="13"/>
  <c r="D209" i="13"/>
  <c r="C209" i="13"/>
  <c r="E208" i="13"/>
  <c r="D208" i="13"/>
  <c r="C208" i="13"/>
  <c r="E207" i="13"/>
  <c r="D207" i="13"/>
  <c r="C207" i="13"/>
  <c r="E206" i="13"/>
  <c r="D206" i="13"/>
  <c r="C206" i="13"/>
  <c r="E205" i="13"/>
  <c r="D205" i="13"/>
  <c r="C205" i="13"/>
  <c r="E204" i="13"/>
  <c r="D204" i="13"/>
  <c r="C204" i="13"/>
  <c r="E203" i="13"/>
  <c r="D203" i="13"/>
  <c r="C203" i="13"/>
  <c r="E202" i="13"/>
  <c r="D202" i="13"/>
  <c r="C202" i="13"/>
  <c r="E201" i="13"/>
  <c r="D201" i="13"/>
  <c r="C201" i="13"/>
  <c r="E200" i="13"/>
  <c r="D200" i="13"/>
  <c r="C200" i="13"/>
  <c r="E199" i="13"/>
  <c r="D199" i="13"/>
  <c r="C199" i="13"/>
  <c r="E198" i="13"/>
  <c r="D198" i="13"/>
  <c r="C198" i="13"/>
  <c r="E197" i="13"/>
  <c r="D197" i="13"/>
  <c r="C197" i="13"/>
  <c r="E196" i="13"/>
  <c r="D196" i="13"/>
  <c r="C196" i="13"/>
  <c r="E195" i="13"/>
  <c r="D195" i="13"/>
  <c r="C195" i="13"/>
  <c r="E194" i="13"/>
  <c r="D194" i="13"/>
  <c r="C194" i="13"/>
  <c r="E193" i="13"/>
  <c r="D193" i="13"/>
  <c r="C193" i="13"/>
  <c r="E192" i="13"/>
  <c r="D192" i="13"/>
  <c r="C192" i="13"/>
  <c r="E191" i="13"/>
  <c r="D191" i="13"/>
  <c r="C191" i="13"/>
  <c r="E190" i="13"/>
  <c r="D190" i="13"/>
  <c r="C190" i="13"/>
  <c r="E189" i="13"/>
  <c r="D189" i="13"/>
  <c r="C189" i="13"/>
  <c r="E188" i="13"/>
  <c r="D188" i="13"/>
  <c r="C188" i="13"/>
  <c r="E187" i="13"/>
  <c r="D187" i="13"/>
  <c r="C187" i="13"/>
  <c r="E186" i="13"/>
  <c r="D186" i="13"/>
  <c r="C186" i="13"/>
  <c r="E185" i="13"/>
  <c r="D185" i="13"/>
  <c r="C185" i="13"/>
  <c r="E184" i="13"/>
  <c r="D184" i="13"/>
  <c r="C184" i="13"/>
  <c r="E183" i="13"/>
  <c r="D183" i="13"/>
  <c r="C183" i="13"/>
  <c r="E182" i="13"/>
  <c r="D182" i="13"/>
  <c r="C182" i="13"/>
  <c r="E181" i="13"/>
  <c r="D181" i="13"/>
  <c r="C181" i="13"/>
  <c r="E180" i="13"/>
  <c r="D180" i="13"/>
  <c r="C180" i="13"/>
  <c r="E179" i="13"/>
  <c r="D179" i="13"/>
  <c r="C179" i="13"/>
  <c r="E178" i="13"/>
  <c r="D178" i="13"/>
  <c r="C178" i="13"/>
  <c r="E177" i="13"/>
  <c r="D177" i="13"/>
  <c r="C177" i="13"/>
  <c r="E176" i="13"/>
  <c r="D176" i="13"/>
  <c r="C176" i="13"/>
  <c r="E175" i="13"/>
  <c r="D175" i="13"/>
  <c r="C175" i="13"/>
  <c r="E174" i="13"/>
  <c r="D174" i="13"/>
  <c r="C174" i="13"/>
  <c r="E173" i="13"/>
  <c r="D173" i="13"/>
  <c r="C173" i="13"/>
  <c r="E172" i="13"/>
  <c r="D172" i="13"/>
  <c r="C172" i="13"/>
  <c r="E171" i="13"/>
  <c r="D171" i="13"/>
  <c r="C171" i="13"/>
  <c r="E170" i="13"/>
  <c r="D170" i="13"/>
  <c r="C170" i="13"/>
  <c r="E169" i="13"/>
  <c r="D169" i="13"/>
  <c r="C169" i="13"/>
  <c r="E168" i="13"/>
  <c r="D168" i="13"/>
  <c r="C168" i="13"/>
  <c r="E167" i="13"/>
  <c r="D167" i="13"/>
  <c r="C167" i="13"/>
  <c r="E166" i="13"/>
  <c r="D166" i="13"/>
  <c r="C166" i="13"/>
  <c r="E165" i="13"/>
  <c r="D165" i="13"/>
  <c r="C165" i="13"/>
  <c r="E164" i="13"/>
  <c r="D164" i="13"/>
  <c r="C164" i="13"/>
  <c r="E163" i="13"/>
  <c r="D163" i="13"/>
  <c r="C163" i="13"/>
  <c r="E162" i="13"/>
  <c r="D162" i="13"/>
  <c r="C162" i="13"/>
  <c r="E161" i="13"/>
  <c r="D161" i="13"/>
  <c r="C161" i="13"/>
  <c r="E160" i="13"/>
  <c r="D160" i="13"/>
  <c r="C160" i="13"/>
  <c r="E159" i="13"/>
  <c r="D159" i="13"/>
  <c r="C159" i="13"/>
  <c r="E158" i="13"/>
  <c r="D158" i="13"/>
  <c r="C158" i="13"/>
  <c r="E157" i="13"/>
  <c r="D157" i="13"/>
  <c r="C157" i="13"/>
  <c r="E156" i="13"/>
  <c r="D156" i="13"/>
  <c r="C156" i="13"/>
  <c r="E155" i="13"/>
  <c r="D155" i="13"/>
  <c r="C155" i="13"/>
  <c r="E154" i="13"/>
  <c r="D154" i="13"/>
  <c r="C154" i="13"/>
  <c r="E153" i="13"/>
  <c r="D153" i="13"/>
  <c r="C153" i="13"/>
  <c r="E152" i="13"/>
  <c r="D152" i="13"/>
  <c r="C152" i="13"/>
  <c r="E151" i="13"/>
  <c r="D151" i="13"/>
  <c r="C151" i="13"/>
  <c r="E150" i="13"/>
  <c r="D150" i="13"/>
  <c r="C150" i="13"/>
  <c r="E149" i="13"/>
  <c r="D149" i="13"/>
  <c r="C149" i="13"/>
  <c r="E148" i="13"/>
  <c r="D148" i="13"/>
  <c r="C148" i="13"/>
  <c r="E147" i="13"/>
  <c r="D147" i="13"/>
  <c r="C147" i="13"/>
  <c r="E146" i="13"/>
  <c r="D146" i="13"/>
  <c r="C146" i="13"/>
  <c r="E145" i="13"/>
  <c r="D145" i="13"/>
  <c r="C145" i="13"/>
  <c r="E144" i="13"/>
  <c r="D144" i="13"/>
  <c r="C144" i="13"/>
  <c r="E143" i="13"/>
  <c r="D143" i="13"/>
  <c r="C143" i="13"/>
  <c r="E142" i="13"/>
  <c r="D142" i="13"/>
  <c r="C142" i="13"/>
  <c r="E141" i="13"/>
  <c r="D141" i="13"/>
  <c r="C141" i="13"/>
  <c r="E140" i="13"/>
  <c r="D140" i="13"/>
  <c r="C140" i="13"/>
  <c r="E139" i="13"/>
  <c r="D139" i="13"/>
  <c r="C139" i="13"/>
  <c r="E138" i="13"/>
  <c r="D138" i="13"/>
  <c r="C138" i="13"/>
  <c r="E137" i="13"/>
  <c r="D137" i="13"/>
  <c r="C137" i="13"/>
  <c r="E136" i="13"/>
  <c r="D136" i="13"/>
  <c r="C136" i="13"/>
  <c r="E135" i="13"/>
  <c r="D135" i="13"/>
  <c r="C135" i="13"/>
  <c r="E134" i="13"/>
  <c r="D134" i="13"/>
  <c r="C134" i="13"/>
  <c r="E133" i="13"/>
  <c r="D133" i="13"/>
  <c r="C133" i="13"/>
  <c r="E132" i="13"/>
  <c r="D132" i="13"/>
  <c r="C132" i="13"/>
  <c r="E131" i="13"/>
  <c r="D131" i="13"/>
  <c r="C131" i="13"/>
  <c r="E130" i="13"/>
  <c r="D130" i="13"/>
  <c r="C130" i="13"/>
  <c r="E129" i="13"/>
  <c r="D129" i="13"/>
  <c r="C129" i="13"/>
  <c r="E128" i="13"/>
  <c r="D128" i="13"/>
  <c r="C128" i="13"/>
  <c r="E127" i="13"/>
  <c r="D127" i="13"/>
  <c r="C127" i="13"/>
  <c r="E126" i="13"/>
  <c r="D126" i="13"/>
  <c r="C126" i="13"/>
  <c r="E125" i="13"/>
  <c r="D125" i="13"/>
  <c r="C125" i="13"/>
  <c r="E124" i="13"/>
  <c r="D124" i="13"/>
  <c r="C124" i="13"/>
  <c r="E123" i="13"/>
  <c r="D123" i="13"/>
  <c r="C123" i="13"/>
  <c r="E122" i="13"/>
  <c r="D122" i="13"/>
  <c r="C122" i="13"/>
  <c r="E121" i="13"/>
  <c r="D121" i="13"/>
  <c r="C121" i="13"/>
  <c r="E120" i="13"/>
  <c r="D120" i="13"/>
  <c r="C120" i="13"/>
  <c r="E119" i="13"/>
  <c r="D119" i="13"/>
  <c r="C119" i="13"/>
  <c r="E118" i="13"/>
  <c r="D118" i="13"/>
  <c r="C118" i="13"/>
  <c r="E117" i="13"/>
  <c r="D117" i="13"/>
  <c r="C117" i="13"/>
  <c r="E116" i="13"/>
  <c r="D116" i="13"/>
  <c r="C116" i="13"/>
  <c r="E115" i="13"/>
  <c r="D115" i="13"/>
  <c r="C115" i="13"/>
  <c r="E114" i="13"/>
  <c r="D114" i="13"/>
  <c r="C114" i="13"/>
  <c r="E113" i="13"/>
  <c r="D113" i="13"/>
  <c r="C113" i="13"/>
  <c r="E112" i="13"/>
  <c r="D112" i="13"/>
  <c r="C112" i="13"/>
  <c r="E111" i="13"/>
  <c r="D111" i="13"/>
  <c r="C111" i="13"/>
  <c r="E110" i="13"/>
  <c r="D110" i="13"/>
  <c r="C110" i="13"/>
  <c r="E109" i="13"/>
  <c r="D109" i="13"/>
  <c r="C109" i="13"/>
  <c r="E108" i="13"/>
  <c r="D108" i="13"/>
  <c r="C108" i="13"/>
  <c r="E107" i="13"/>
  <c r="D107" i="13"/>
  <c r="C107" i="13"/>
  <c r="E106" i="13"/>
  <c r="D106" i="13"/>
  <c r="C106" i="13"/>
  <c r="E105" i="13"/>
  <c r="D105" i="13"/>
  <c r="C105" i="13"/>
  <c r="E104" i="13"/>
  <c r="D104" i="13"/>
  <c r="C104" i="13"/>
  <c r="E103" i="13"/>
  <c r="D103" i="13"/>
  <c r="C103" i="13"/>
  <c r="E102" i="13"/>
  <c r="D102" i="13"/>
  <c r="C102" i="13"/>
  <c r="E101" i="13"/>
  <c r="D101" i="13"/>
  <c r="C101" i="13"/>
  <c r="E100" i="13"/>
  <c r="D100" i="13"/>
  <c r="C100" i="13"/>
  <c r="E99" i="13"/>
  <c r="D99" i="13"/>
  <c r="C99" i="13"/>
  <c r="E98" i="13"/>
  <c r="D98" i="13"/>
  <c r="C98" i="13"/>
  <c r="E97" i="13"/>
  <c r="D97" i="13"/>
  <c r="C97" i="13"/>
  <c r="E96" i="13"/>
  <c r="D96" i="13"/>
  <c r="C96" i="13"/>
  <c r="E95" i="13"/>
  <c r="D95" i="13"/>
  <c r="C95" i="13"/>
  <c r="E94" i="13"/>
  <c r="D94" i="13"/>
  <c r="C94" i="13"/>
  <c r="E93" i="13"/>
  <c r="D93" i="13"/>
  <c r="C93" i="13"/>
  <c r="E92" i="13"/>
  <c r="D92" i="13"/>
  <c r="C92" i="13"/>
  <c r="E91" i="13"/>
  <c r="D91" i="13"/>
  <c r="C91" i="13"/>
  <c r="E90" i="13"/>
  <c r="D90" i="13"/>
  <c r="C90" i="13"/>
  <c r="E89" i="13"/>
  <c r="D89" i="13"/>
  <c r="C89" i="13"/>
  <c r="E88" i="13"/>
  <c r="D88" i="13"/>
  <c r="C88" i="13"/>
  <c r="E87" i="13"/>
  <c r="D87" i="13"/>
  <c r="C87" i="13"/>
  <c r="E86" i="13"/>
  <c r="D86" i="13"/>
  <c r="C86" i="13"/>
  <c r="E85" i="13"/>
  <c r="D85" i="13"/>
  <c r="C85" i="13"/>
  <c r="E84" i="13"/>
  <c r="D84" i="13"/>
  <c r="C84" i="13"/>
  <c r="E83" i="13"/>
  <c r="D83" i="13"/>
  <c r="C83" i="13"/>
  <c r="E82" i="13"/>
  <c r="D82" i="13"/>
  <c r="C82" i="13"/>
  <c r="E81" i="13"/>
  <c r="D81" i="13"/>
  <c r="C81" i="13"/>
  <c r="E80" i="13"/>
  <c r="D80" i="13"/>
  <c r="C80" i="13"/>
  <c r="E79" i="13"/>
  <c r="D79" i="13"/>
  <c r="C79" i="13"/>
  <c r="E78" i="13"/>
  <c r="D78" i="13"/>
  <c r="C78" i="13"/>
  <c r="E77" i="13"/>
  <c r="D77" i="13"/>
  <c r="C77" i="13"/>
  <c r="E76" i="13"/>
  <c r="D76" i="13"/>
  <c r="C76" i="13"/>
  <c r="E75" i="13"/>
  <c r="D75" i="13"/>
  <c r="C75" i="13"/>
  <c r="E74" i="13"/>
  <c r="D74" i="13"/>
  <c r="C74" i="13"/>
  <c r="E73" i="13"/>
  <c r="D73" i="13"/>
  <c r="C73" i="13"/>
  <c r="E72" i="13"/>
  <c r="D72" i="13"/>
  <c r="C72" i="13"/>
  <c r="E71" i="13"/>
  <c r="D71" i="13"/>
  <c r="C71" i="13"/>
  <c r="E70" i="13"/>
  <c r="D70" i="13"/>
  <c r="C70" i="13"/>
  <c r="E69" i="13"/>
  <c r="D69" i="13"/>
  <c r="C69" i="13"/>
  <c r="E68" i="13"/>
  <c r="D68" i="13"/>
  <c r="C68" i="13"/>
  <c r="E67" i="13"/>
  <c r="D67" i="13"/>
  <c r="C67" i="13"/>
  <c r="E66" i="13"/>
  <c r="D66" i="13"/>
  <c r="C66" i="13"/>
  <c r="E65" i="13"/>
  <c r="D65" i="13"/>
  <c r="C65" i="13"/>
  <c r="E64" i="13"/>
  <c r="D64" i="13"/>
  <c r="C64" i="13"/>
  <c r="E63" i="13"/>
  <c r="D63" i="13"/>
  <c r="C63" i="13"/>
  <c r="E62" i="13"/>
  <c r="D62" i="13"/>
  <c r="C62" i="13"/>
  <c r="E61" i="13"/>
  <c r="D61" i="13"/>
  <c r="C61" i="13"/>
  <c r="E60" i="13"/>
  <c r="D60" i="13"/>
  <c r="C60" i="13"/>
  <c r="E59" i="13"/>
  <c r="D59" i="13"/>
  <c r="C59" i="13"/>
  <c r="E58" i="13"/>
  <c r="D58" i="13"/>
  <c r="C58" i="13"/>
  <c r="E57" i="13"/>
  <c r="D57" i="13"/>
  <c r="C57" i="13"/>
  <c r="E56" i="13"/>
  <c r="D56" i="13"/>
  <c r="C56" i="13"/>
  <c r="E55" i="13"/>
  <c r="D55" i="13"/>
  <c r="C55" i="13"/>
  <c r="E54" i="13"/>
  <c r="D54" i="13"/>
  <c r="C54" i="13"/>
  <c r="E53" i="13"/>
  <c r="D53" i="13"/>
  <c r="C53" i="13"/>
  <c r="E52" i="13"/>
  <c r="D52" i="13"/>
  <c r="C52" i="13"/>
  <c r="E51" i="13"/>
  <c r="D51" i="13"/>
  <c r="C51" i="13"/>
  <c r="E50" i="13"/>
  <c r="D50" i="13"/>
  <c r="C50" i="13"/>
  <c r="E49" i="13"/>
  <c r="D49" i="13"/>
  <c r="C49" i="13"/>
  <c r="E48" i="13"/>
  <c r="D48" i="13"/>
  <c r="C48" i="13"/>
  <c r="E47" i="13"/>
  <c r="D47" i="13"/>
  <c r="C47" i="13"/>
  <c r="E46" i="13"/>
  <c r="D46" i="13"/>
  <c r="C46" i="13"/>
  <c r="E45" i="13"/>
  <c r="D45" i="13"/>
  <c r="C45" i="13"/>
  <c r="E44" i="13"/>
  <c r="D44" i="13"/>
  <c r="C44" i="13"/>
  <c r="E43" i="13"/>
  <c r="D43" i="13"/>
  <c r="C43" i="13"/>
  <c r="E42" i="13"/>
  <c r="D42" i="13"/>
  <c r="C42" i="13"/>
  <c r="E41" i="13"/>
  <c r="D41" i="13"/>
  <c r="C41" i="13"/>
  <c r="E40" i="13"/>
  <c r="D40" i="13"/>
  <c r="C40" i="13"/>
  <c r="E39" i="13"/>
  <c r="D39" i="13"/>
  <c r="C39" i="13"/>
  <c r="E38" i="13"/>
  <c r="D38" i="13"/>
  <c r="C38" i="13"/>
  <c r="E37" i="13"/>
  <c r="D37" i="13"/>
  <c r="C37" i="13"/>
  <c r="E36" i="13"/>
  <c r="D36" i="13"/>
  <c r="C36" i="13"/>
  <c r="E35" i="13"/>
  <c r="D35" i="13"/>
  <c r="C35" i="13"/>
  <c r="E34" i="13"/>
  <c r="D34" i="13"/>
  <c r="C34" i="13"/>
  <c r="E33" i="13"/>
  <c r="D33" i="13"/>
  <c r="C33" i="13"/>
  <c r="E32" i="13"/>
  <c r="D32" i="13"/>
  <c r="C32" i="13"/>
  <c r="E31" i="13"/>
  <c r="D31" i="13"/>
  <c r="C31" i="13"/>
  <c r="E30" i="13"/>
  <c r="D30" i="13"/>
  <c r="C30" i="13"/>
  <c r="E29" i="13"/>
  <c r="D29" i="13"/>
  <c r="C29" i="13"/>
  <c r="E28" i="13"/>
  <c r="D28" i="13"/>
  <c r="C28" i="13"/>
  <c r="E27" i="13"/>
  <c r="D27" i="13"/>
  <c r="C27" i="13"/>
  <c r="E26" i="13"/>
  <c r="D26" i="13"/>
  <c r="C26" i="13"/>
  <c r="E25" i="13"/>
  <c r="D25" i="13"/>
  <c r="C25" i="13"/>
  <c r="E24" i="13"/>
  <c r="D24" i="13"/>
  <c r="C24" i="13"/>
  <c r="E23" i="13"/>
  <c r="D23" i="13"/>
  <c r="C23" i="13"/>
  <c r="E22" i="13"/>
  <c r="D22" i="13"/>
  <c r="C22" i="13"/>
  <c r="E21" i="13"/>
  <c r="D21" i="13"/>
  <c r="C21" i="13"/>
  <c r="E20" i="13"/>
  <c r="D20" i="13"/>
  <c r="C20" i="13"/>
  <c r="E19" i="13"/>
  <c r="D19" i="13"/>
  <c r="C19" i="13"/>
  <c r="E18" i="13"/>
  <c r="D18" i="13"/>
  <c r="C18" i="13"/>
  <c r="E17" i="13"/>
  <c r="D17" i="13"/>
  <c r="C17" i="13"/>
  <c r="E16" i="13"/>
  <c r="D16" i="13"/>
  <c r="C16" i="13"/>
  <c r="E15" i="13"/>
  <c r="D15" i="13"/>
  <c r="C15" i="13"/>
  <c r="E14" i="13"/>
  <c r="D14" i="13"/>
  <c r="C14" i="13"/>
  <c r="E13" i="13"/>
  <c r="D13" i="13"/>
  <c r="C13" i="13"/>
  <c r="E12" i="13"/>
  <c r="D12" i="13"/>
  <c r="C12" i="13"/>
  <c r="E11" i="13"/>
  <c r="D11" i="13"/>
  <c r="C11" i="13"/>
  <c r="E10" i="13"/>
  <c r="D10" i="13"/>
  <c r="C10" i="13"/>
  <c r="E9" i="13"/>
  <c r="D9" i="13"/>
  <c r="C9" i="13"/>
  <c r="E8" i="13"/>
  <c r="D8" i="13"/>
  <c r="C8" i="13"/>
  <c r="E7" i="13"/>
  <c r="D7" i="13"/>
  <c r="C7" i="13"/>
  <c r="E6" i="13"/>
  <c r="D6" i="13"/>
  <c r="C6" i="13"/>
  <c r="E5" i="13"/>
  <c r="D5" i="13"/>
  <c r="C5" i="13"/>
  <c r="E4" i="13"/>
  <c r="D4" i="13"/>
  <c r="C4" i="13"/>
  <c r="E3" i="13"/>
  <c r="D3" i="13"/>
  <c r="C3" i="13"/>
  <c r="E2" i="13"/>
  <c r="D2" i="13"/>
  <c r="C2" i="13"/>
  <c r="C683" i="1"/>
  <c r="D683" i="1"/>
  <c r="E683" i="1"/>
  <c r="C682" i="1"/>
  <c r="D682" i="1"/>
  <c r="E682" i="1"/>
  <c r="C681" i="1"/>
  <c r="D681" i="1"/>
  <c r="E681" i="1"/>
  <c r="C680" i="1"/>
  <c r="D680" i="1"/>
  <c r="E680" i="1"/>
  <c r="C679" i="1"/>
  <c r="D679" i="1"/>
  <c r="E679" i="1"/>
  <c r="C678" i="1"/>
  <c r="D678" i="1"/>
  <c r="E678" i="1"/>
  <c r="C677" i="1"/>
  <c r="D677" i="1"/>
  <c r="E677" i="1"/>
  <c r="C676" i="1"/>
  <c r="D676" i="1"/>
  <c r="E676" i="1"/>
  <c r="C675" i="1"/>
  <c r="D675" i="1"/>
  <c r="E675" i="1"/>
  <c r="C674" i="1"/>
  <c r="D674" i="1"/>
  <c r="E674" i="1"/>
  <c r="C673" i="1"/>
  <c r="D673" i="1"/>
  <c r="E673" i="1"/>
  <c r="C672" i="1"/>
  <c r="D672" i="1"/>
  <c r="E672" i="1"/>
  <c r="C671" i="1"/>
  <c r="D671" i="1"/>
  <c r="E671" i="1"/>
  <c r="C670" i="1"/>
  <c r="D670" i="1"/>
  <c r="E670" i="1"/>
  <c r="C669" i="1"/>
  <c r="D669" i="1"/>
  <c r="E669" i="1"/>
  <c r="C668" i="1"/>
  <c r="D668" i="1"/>
  <c r="E668" i="1"/>
  <c r="C667" i="1"/>
  <c r="D667" i="1"/>
  <c r="E667" i="1"/>
  <c r="C666" i="1"/>
  <c r="D666" i="1"/>
  <c r="E666" i="1"/>
  <c r="C665" i="1"/>
  <c r="D665" i="1"/>
  <c r="E665" i="1"/>
  <c r="C664" i="1"/>
  <c r="D664" i="1"/>
  <c r="E664" i="1"/>
  <c r="C663" i="1"/>
  <c r="D663" i="1"/>
  <c r="E663" i="1"/>
  <c r="C662" i="1"/>
  <c r="D662" i="1"/>
  <c r="E662" i="1"/>
  <c r="C661" i="1"/>
  <c r="D661" i="1"/>
  <c r="E661" i="1"/>
  <c r="C660" i="1"/>
  <c r="D660" i="1"/>
  <c r="E660" i="1"/>
  <c r="C659" i="1"/>
  <c r="D659" i="1"/>
  <c r="E659" i="1"/>
  <c r="C658" i="1"/>
  <c r="D658" i="1"/>
  <c r="E658" i="1"/>
  <c r="C657" i="1"/>
  <c r="D657" i="1"/>
  <c r="E657" i="1"/>
  <c r="C656" i="1"/>
  <c r="D656" i="1"/>
  <c r="E656" i="1"/>
  <c r="C655" i="1"/>
  <c r="D655" i="1"/>
  <c r="E655" i="1"/>
  <c r="C654" i="1"/>
  <c r="D654" i="1"/>
  <c r="E654" i="1"/>
  <c r="C653" i="1"/>
  <c r="D653" i="1"/>
  <c r="E653" i="1"/>
  <c r="C652" i="1"/>
  <c r="D652" i="1"/>
  <c r="E652" i="1"/>
  <c r="C651" i="1"/>
  <c r="D651" i="1"/>
  <c r="E651" i="1"/>
  <c r="C650" i="1"/>
  <c r="D650" i="1"/>
  <c r="E650" i="1"/>
  <c r="C649" i="1"/>
  <c r="D649" i="1"/>
  <c r="E649" i="1"/>
  <c r="C648" i="1"/>
  <c r="D648" i="1"/>
  <c r="E648" i="1"/>
  <c r="C647" i="1"/>
  <c r="D647" i="1"/>
  <c r="E647" i="1"/>
  <c r="C646" i="1"/>
  <c r="D646" i="1"/>
  <c r="E646" i="1"/>
  <c r="C645" i="1"/>
  <c r="D645" i="1"/>
  <c r="E645" i="1"/>
  <c r="C644" i="1"/>
  <c r="D644" i="1"/>
  <c r="E644" i="1"/>
  <c r="C643" i="1"/>
  <c r="D643" i="1"/>
  <c r="E643" i="1"/>
  <c r="C642" i="1"/>
  <c r="D642" i="1"/>
  <c r="E642" i="1"/>
  <c r="C641" i="1"/>
  <c r="D641" i="1"/>
  <c r="E641" i="1"/>
  <c r="C640" i="1"/>
  <c r="D640" i="1"/>
  <c r="E640" i="1"/>
  <c r="C639" i="1"/>
  <c r="D639" i="1"/>
  <c r="E639" i="1"/>
  <c r="C638" i="1"/>
  <c r="D638" i="1"/>
  <c r="E638" i="1"/>
  <c r="C637" i="1"/>
  <c r="D637" i="1"/>
  <c r="E637" i="1"/>
  <c r="C636" i="1"/>
  <c r="D636" i="1"/>
  <c r="E636" i="1"/>
  <c r="C635" i="1"/>
  <c r="D635" i="1"/>
  <c r="E635" i="1"/>
  <c r="C634" i="1"/>
  <c r="D634" i="1"/>
  <c r="E634" i="1"/>
  <c r="C633" i="1"/>
  <c r="D633" i="1"/>
  <c r="E633" i="1"/>
  <c r="C632" i="1"/>
  <c r="D632" i="1"/>
  <c r="E632" i="1"/>
  <c r="C631" i="1"/>
  <c r="D631" i="1"/>
  <c r="E631" i="1"/>
  <c r="C630" i="1"/>
  <c r="D630" i="1"/>
  <c r="E630" i="1"/>
  <c r="C629" i="1"/>
  <c r="D629" i="1"/>
  <c r="E629" i="1"/>
  <c r="C628" i="1"/>
  <c r="D628" i="1"/>
  <c r="E628" i="1"/>
  <c r="C627" i="1"/>
  <c r="D627" i="1"/>
  <c r="E627" i="1"/>
  <c r="C626" i="1"/>
  <c r="D626" i="1"/>
  <c r="E626" i="1"/>
  <c r="C625" i="1"/>
  <c r="D625" i="1"/>
  <c r="E625" i="1"/>
  <c r="C624" i="1"/>
  <c r="D624" i="1"/>
  <c r="E624" i="1"/>
  <c r="C623" i="1"/>
  <c r="D623" i="1"/>
  <c r="E623" i="1"/>
  <c r="C622" i="1"/>
  <c r="D622" i="1"/>
  <c r="E622" i="1"/>
  <c r="C621" i="1"/>
  <c r="D621" i="1"/>
  <c r="E621" i="1"/>
  <c r="C620" i="1"/>
  <c r="D620" i="1"/>
  <c r="E620" i="1"/>
  <c r="C619" i="1"/>
  <c r="D619" i="1"/>
  <c r="E619" i="1"/>
  <c r="C618" i="1"/>
  <c r="D618" i="1"/>
  <c r="E618" i="1"/>
  <c r="C617" i="1"/>
  <c r="D617" i="1"/>
  <c r="E617" i="1"/>
  <c r="C616" i="1"/>
  <c r="D616" i="1"/>
  <c r="E616" i="1"/>
  <c r="C615" i="1"/>
  <c r="D615" i="1"/>
  <c r="E615" i="1"/>
  <c r="E614" i="1"/>
  <c r="D614" i="1"/>
  <c r="C614" i="1"/>
  <c r="C613" i="1"/>
  <c r="D613" i="1"/>
  <c r="E613" i="1"/>
  <c r="C612" i="1"/>
  <c r="D612" i="1"/>
  <c r="E612" i="1"/>
  <c r="C611" i="1"/>
  <c r="D611" i="1"/>
  <c r="E611" i="1"/>
  <c r="C610" i="1"/>
  <c r="D610" i="1"/>
  <c r="E610" i="1"/>
  <c r="C609" i="1"/>
  <c r="D609" i="1"/>
  <c r="E609" i="1"/>
  <c r="C608" i="1"/>
  <c r="D608" i="1"/>
  <c r="E608" i="1"/>
  <c r="C607" i="1"/>
  <c r="D607" i="1"/>
  <c r="E607" i="1"/>
  <c r="C606" i="1"/>
  <c r="D606" i="1"/>
  <c r="E606" i="1"/>
  <c r="C605" i="1"/>
  <c r="D605" i="1"/>
  <c r="E605" i="1"/>
  <c r="C604" i="1"/>
  <c r="D604" i="1"/>
  <c r="E604" i="1"/>
  <c r="C603" i="1"/>
  <c r="D603" i="1"/>
  <c r="E603" i="1"/>
  <c r="C602" i="1"/>
  <c r="D602" i="1"/>
  <c r="E602" i="1"/>
  <c r="C601" i="1"/>
  <c r="D601" i="1"/>
  <c r="E601" i="1"/>
  <c r="C600" i="1"/>
  <c r="D600" i="1"/>
  <c r="E600" i="1"/>
  <c r="C599" i="1"/>
  <c r="D599" i="1"/>
  <c r="E599" i="1"/>
  <c r="C598" i="1"/>
  <c r="D598" i="1"/>
  <c r="E598" i="1"/>
  <c r="C597" i="1"/>
  <c r="D597" i="1"/>
  <c r="E597" i="1"/>
  <c r="C596" i="1"/>
  <c r="D596" i="1"/>
  <c r="E596" i="1"/>
  <c r="C595" i="1"/>
  <c r="D595" i="1"/>
  <c r="E595" i="1"/>
  <c r="C594" i="1"/>
  <c r="D594" i="1"/>
  <c r="E594" i="1"/>
  <c r="C593" i="1"/>
  <c r="D593" i="1"/>
  <c r="E593" i="1"/>
  <c r="C592" i="1"/>
  <c r="D592" i="1"/>
  <c r="E592" i="1"/>
  <c r="C591" i="1"/>
  <c r="D591" i="1"/>
  <c r="E591" i="1"/>
  <c r="C590" i="1"/>
  <c r="D590" i="1"/>
  <c r="E590" i="1"/>
  <c r="C589" i="1"/>
  <c r="D589" i="1"/>
  <c r="E589" i="1"/>
  <c r="C588" i="1"/>
  <c r="D588" i="1"/>
  <c r="E588" i="1"/>
  <c r="C587" i="1"/>
  <c r="D587" i="1"/>
  <c r="E587" i="1"/>
  <c r="C586" i="1"/>
  <c r="D586" i="1"/>
  <c r="E586" i="1"/>
  <c r="C585" i="1"/>
  <c r="D585" i="1"/>
  <c r="E585" i="1"/>
  <c r="C584" i="1"/>
  <c r="D584" i="1"/>
  <c r="E584" i="1"/>
  <c r="C583" i="1"/>
  <c r="D583" i="1"/>
  <c r="E583" i="1"/>
  <c r="C582" i="1"/>
  <c r="D582" i="1"/>
  <c r="E582" i="1"/>
  <c r="C581" i="1"/>
  <c r="D581" i="1"/>
  <c r="E581" i="1"/>
  <c r="C580" i="1"/>
  <c r="D580" i="1"/>
  <c r="E580" i="1"/>
  <c r="C579" i="1"/>
  <c r="D579" i="1"/>
  <c r="E579" i="1"/>
  <c r="C578" i="1"/>
  <c r="D578" i="1"/>
  <c r="E578" i="1"/>
  <c r="C577" i="1"/>
  <c r="D577" i="1"/>
  <c r="E577" i="1"/>
  <c r="C576" i="1"/>
  <c r="D576" i="1"/>
  <c r="E576" i="1"/>
  <c r="C575" i="1"/>
  <c r="D575" i="1"/>
  <c r="E575" i="1"/>
  <c r="C574" i="1"/>
  <c r="D574" i="1"/>
  <c r="E574" i="1"/>
  <c r="C573" i="1"/>
  <c r="D573" i="1"/>
  <c r="E573" i="1"/>
  <c r="C572" i="1"/>
  <c r="D572" i="1"/>
  <c r="E572" i="1"/>
  <c r="C571" i="1"/>
  <c r="D571" i="1"/>
  <c r="E571" i="1"/>
  <c r="C570" i="1"/>
  <c r="D570" i="1"/>
  <c r="E570" i="1"/>
  <c r="C569" i="1"/>
  <c r="D569" i="1"/>
  <c r="E569" i="1"/>
  <c r="C568" i="1"/>
  <c r="D568" i="1"/>
  <c r="E568" i="1"/>
  <c r="C567" i="1"/>
  <c r="D567" i="1"/>
  <c r="E567" i="1"/>
  <c r="C566" i="1"/>
  <c r="D566" i="1"/>
  <c r="E566" i="1"/>
  <c r="C565" i="1"/>
  <c r="D565" i="1"/>
  <c r="E565" i="1"/>
  <c r="C564" i="1"/>
  <c r="D564" i="1"/>
  <c r="E564" i="1"/>
  <c r="C563" i="1"/>
  <c r="D563" i="1"/>
  <c r="E563" i="1"/>
  <c r="C562" i="1"/>
  <c r="D562" i="1"/>
  <c r="E562" i="1"/>
  <c r="C561" i="1"/>
  <c r="D561" i="1"/>
  <c r="E561" i="1"/>
  <c r="C560" i="1"/>
  <c r="D560" i="1"/>
  <c r="E560" i="1"/>
  <c r="C559" i="1"/>
  <c r="D559" i="1"/>
  <c r="E559" i="1"/>
  <c r="C558" i="1"/>
  <c r="D558" i="1"/>
  <c r="E558" i="1"/>
  <c r="E557" i="1"/>
  <c r="D557" i="1"/>
  <c r="C557" i="1"/>
  <c r="C556" i="1"/>
  <c r="D556" i="1"/>
  <c r="E556" i="1"/>
  <c r="C555" i="1"/>
  <c r="D555" i="1"/>
  <c r="E555" i="1"/>
  <c r="C554" i="1"/>
  <c r="D554" i="1"/>
  <c r="E554" i="1"/>
  <c r="C553" i="1"/>
  <c r="D553" i="1"/>
  <c r="E553" i="1"/>
  <c r="C552" i="1"/>
  <c r="D552" i="1"/>
  <c r="E552" i="1"/>
  <c r="C551" i="1"/>
  <c r="D551" i="1"/>
  <c r="E551" i="1"/>
  <c r="C550" i="1"/>
  <c r="D550" i="1"/>
  <c r="E550" i="1"/>
  <c r="C549" i="1"/>
  <c r="D549" i="1"/>
  <c r="E549" i="1"/>
  <c r="C548" i="1"/>
  <c r="D548" i="1"/>
  <c r="E548" i="1"/>
  <c r="C547" i="1"/>
  <c r="D547" i="1"/>
  <c r="E547" i="1"/>
  <c r="C546" i="1"/>
  <c r="D546" i="1"/>
  <c r="E546" i="1"/>
  <c r="C545" i="1"/>
  <c r="D545" i="1"/>
  <c r="E545" i="1"/>
  <c r="C544" i="1"/>
  <c r="D544" i="1"/>
  <c r="E544" i="1"/>
  <c r="C543" i="1"/>
  <c r="D543" i="1"/>
  <c r="E543" i="1"/>
  <c r="C542" i="1"/>
  <c r="D542" i="1"/>
  <c r="E542" i="1"/>
  <c r="C541" i="1"/>
  <c r="D541" i="1"/>
  <c r="E541" i="1"/>
  <c r="C540" i="1"/>
  <c r="D540" i="1"/>
  <c r="E540" i="1"/>
  <c r="C539" i="1"/>
  <c r="D539" i="1"/>
  <c r="E539" i="1"/>
  <c r="C538" i="1"/>
  <c r="D538" i="1"/>
  <c r="E538" i="1"/>
  <c r="C537" i="1"/>
  <c r="D537" i="1"/>
  <c r="E537" i="1"/>
  <c r="C536" i="1"/>
  <c r="D536" i="1"/>
  <c r="E536" i="1"/>
  <c r="C535" i="1"/>
  <c r="D535" i="1"/>
  <c r="E535" i="1"/>
  <c r="C534" i="1"/>
  <c r="D534" i="1"/>
  <c r="E534" i="1"/>
  <c r="E533" i="1"/>
  <c r="D533" i="1"/>
  <c r="C533" i="1"/>
  <c r="C532" i="1"/>
  <c r="D532" i="1"/>
  <c r="E532" i="1"/>
  <c r="C531" i="1"/>
  <c r="D531" i="1"/>
  <c r="E531" i="1"/>
  <c r="C530" i="1"/>
  <c r="D530" i="1"/>
  <c r="E530" i="1"/>
  <c r="C529" i="1"/>
  <c r="D529" i="1"/>
  <c r="E529" i="1"/>
  <c r="C528" i="1"/>
  <c r="D528" i="1"/>
  <c r="E528" i="1"/>
  <c r="C527" i="1"/>
  <c r="D527" i="1"/>
  <c r="E527" i="1"/>
  <c r="C526" i="1"/>
  <c r="D526" i="1"/>
  <c r="E526" i="1"/>
  <c r="C525" i="1"/>
  <c r="D525" i="1"/>
  <c r="E525" i="1"/>
  <c r="C524" i="1"/>
  <c r="D524" i="1"/>
  <c r="E524" i="1"/>
  <c r="C523" i="1"/>
  <c r="D523" i="1"/>
  <c r="E523" i="1"/>
  <c r="C522" i="1"/>
  <c r="D522" i="1"/>
  <c r="E522" i="1"/>
  <c r="E521" i="1"/>
  <c r="D521" i="1"/>
  <c r="C521" i="1"/>
  <c r="C520" i="1"/>
  <c r="D520" i="1"/>
  <c r="E520" i="1"/>
  <c r="C519" i="1"/>
  <c r="D519" i="1"/>
  <c r="E519" i="1"/>
  <c r="C518" i="1"/>
  <c r="D518" i="1"/>
  <c r="E518" i="1"/>
  <c r="C517" i="1"/>
  <c r="D517" i="1"/>
  <c r="E517" i="1"/>
  <c r="C516" i="1"/>
  <c r="D516" i="1"/>
  <c r="E516" i="1"/>
  <c r="C515" i="1"/>
  <c r="D515" i="1"/>
  <c r="E515" i="1"/>
  <c r="C514" i="1"/>
  <c r="D514" i="1"/>
  <c r="E514" i="1"/>
  <c r="C513" i="1"/>
  <c r="D513" i="1"/>
  <c r="E513" i="1"/>
  <c r="C512" i="1"/>
  <c r="D512" i="1"/>
  <c r="E512" i="1"/>
  <c r="C511" i="1"/>
  <c r="D511" i="1"/>
  <c r="E511" i="1"/>
  <c r="C510" i="1"/>
  <c r="D510" i="1"/>
  <c r="E510" i="1"/>
  <c r="C509" i="1"/>
  <c r="D509" i="1"/>
  <c r="E509" i="1"/>
  <c r="C508" i="1"/>
  <c r="D508" i="1"/>
  <c r="E508" i="1"/>
  <c r="C507" i="1"/>
  <c r="D507" i="1"/>
  <c r="E507" i="1"/>
  <c r="C506" i="1"/>
  <c r="D506" i="1"/>
  <c r="E506" i="1"/>
  <c r="E505" i="1"/>
  <c r="D505" i="1"/>
  <c r="C505" i="1"/>
  <c r="C504" i="1"/>
  <c r="D504" i="1"/>
  <c r="E504" i="1"/>
  <c r="C503" i="1"/>
  <c r="D503" i="1"/>
  <c r="E503" i="1"/>
  <c r="C502" i="1"/>
  <c r="D502" i="1"/>
  <c r="E502" i="1"/>
  <c r="C501" i="1"/>
  <c r="D501" i="1"/>
  <c r="E501" i="1"/>
  <c r="C500" i="1"/>
  <c r="D500" i="1"/>
  <c r="E500" i="1"/>
  <c r="C499" i="1"/>
  <c r="D499" i="1"/>
  <c r="E499" i="1"/>
  <c r="C498" i="1"/>
  <c r="D498" i="1"/>
  <c r="E498" i="1"/>
  <c r="C497" i="1"/>
  <c r="D497" i="1"/>
  <c r="E497" i="1"/>
  <c r="C496" i="1"/>
  <c r="D496" i="1"/>
  <c r="E496" i="1"/>
  <c r="C495" i="1"/>
  <c r="D495" i="1"/>
  <c r="E495" i="1"/>
  <c r="C494" i="1"/>
  <c r="D494" i="1"/>
  <c r="E494" i="1"/>
  <c r="C493" i="1"/>
  <c r="D493" i="1"/>
  <c r="E493" i="1"/>
  <c r="C492" i="1"/>
  <c r="D492" i="1"/>
  <c r="E492" i="1"/>
  <c r="C491" i="1"/>
  <c r="D491" i="1"/>
  <c r="E491" i="1"/>
  <c r="C490" i="1"/>
  <c r="D490" i="1"/>
  <c r="E490" i="1"/>
  <c r="C489" i="1"/>
  <c r="D489" i="1"/>
  <c r="E489" i="1"/>
  <c r="C488" i="1"/>
  <c r="D488" i="1"/>
  <c r="E488" i="1"/>
  <c r="C487" i="1"/>
  <c r="D487" i="1"/>
  <c r="E487" i="1"/>
  <c r="C486" i="1"/>
  <c r="D486" i="1"/>
  <c r="E486" i="1"/>
  <c r="C485" i="1"/>
  <c r="D485" i="1"/>
  <c r="E485" i="1"/>
  <c r="C484" i="1"/>
  <c r="D484" i="1"/>
  <c r="E484" i="1"/>
  <c r="C483" i="1"/>
  <c r="D483" i="1"/>
  <c r="E483" i="1"/>
  <c r="C482" i="1"/>
  <c r="D482" i="1"/>
  <c r="E482" i="1"/>
  <c r="C481" i="1"/>
  <c r="D481" i="1"/>
  <c r="E481" i="1"/>
  <c r="C480" i="1"/>
  <c r="D480" i="1"/>
  <c r="E480" i="1"/>
  <c r="C479" i="1"/>
  <c r="D479" i="1"/>
  <c r="E479" i="1"/>
  <c r="C478" i="1"/>
  <c r="D478" i="1"/>
  <c r="E478" i="1"/>
  <c r="C477" i="1"/>
  <c r="D477" i="1"/>
  <c r="E477" i="1"/>
  <c r="C476" i="1"/>
  <c r="D476" i="1"/>
  <c r="E476" i="1"/>
  <c r="C475" i="1"/>
  <c r="D475" i="1"/>
  <c r="E475" i="1"/>
  <c r="C474" i="1"/>
  <c r="D474" i="1"/>
  <c r="E474" i="1"/>
  <c r="C473" i="1"/>
  <c r="D473" i="1"/>
  <c r="E473" i="1"/>
  <c r="C472" i="1"/>
  <c r="D472" i="1"/>
  <c r="E472" i="1"/>
  <c r="C471" i="1"/>
  <c r="D471" i="1"/>
  <c r="E471" i="1"/>
  <c r="C470" i="1"/>
  <c r="D470" i="1"/>
  <c r="E470" i="1"/>
  <c r="C469" i="1"/>
  <c r="D469" i="1"/>
  <c r="E469" i="1"/>
  <c r="C468" i="1"/>
  <c r="D468" i="1"/>
  <c r="E468" i="1"/>
  <c r="C467" i="1"/>
  <c r="D467" i="1"/>
  <c r="E467" i="1"/>
  <c r="C466" i="1"/>
  <c r="D466" i="1"/>
  <c r="E466" i="1"/>
  <c r="C465" i="1"/>
  <c r="D465" i="1"/>
  <c r="E465" i="1"/>
  <c r="C464" i="1"/>
  <c r="D464" i="1"/>
  <c r="E464" i="1"/>
  <c r="C463" i="1"/>
  <c r="D463" i="1"/>
  <c r="E463" i="1"/>
  <c r="C462" i="1"/>
  <c r="D462" i="1"/>
  <c r="E462" i="1"/>
  <c r="C461" i="1"/>
  <c r="D461" i="1"/>
  <c r="E461" i="1"/>
  <c r="C460" i="1"/>
  <c r="D460" i="1"/>
  <c r="E460" i="1"/>
  <c r="C459" i="1"/>
  <c r="D459" i="1"/>
  <c r="E459" i="1"/>
  <c r="C458" i="1"/>
  <c r="D458" i="1"/>
  <c r="E458" i="1"/>
  <c r="C457" i="1"/>
  <c r="D457" i="1"/>
  <c r="E457" i="1"/>
  <c r="C456" i="1"/>
  <c r="D456" i="1"/>
  <c r="E456" i="1"/>
  <c r="C455" i="1"/>
  <c r="D455" i="1"/>
  <c r="E455" i="1"/>
  <c r="C454" i="1"/>
  <c r="D454" i="1"/>
  <c r="E454" i="1"/>
  <c r="C453" i="1"/>
  <c r="D453" i="1"/>
  <c r="E453" i="1"/>
  <c r="C452" i="1"/>
  <c r="D452" i="1"/>
  <c r="E452" i="1"/>
  <c r="C451" i="1"/>
  <c r="D451" i="1"/>
  <c r="E451" i="1"/>
  <c r="C450" i="1"/>
  <c r="D450" i="1"/>
  <c r="E450" i="1"/>
  <c r="C449" i="1"/>
  <c r="D449" i="1"/>
  <c r="E449" i="1"/>
  <c r="C448" i="1"/>
  <c r="D448" i="1"/>
  <c r="E448" i="1"/>
  <c r="C447" i="1"/>
  <c r="D447" i="1"/>
  <c r="E447" i="1"/>
  <c r="C446" i="1"/>
  <c r="D446" i="1"/>
  <c r="E446" i="1"/>
  <c r="C445" i="1"/>
  <c r="D445" i="1"/>
  <c r="E445" i="1"/>
  <c r="C444" i="1"/>
  <c r="D444" i="1"/>
  <c r="E444" i="1"/>
  <c r="C443" i="1"/>
  <c r="D443" i="1"/>
  <c r="E443" i="1"/>
  <c r="C442" i="1"/>
  <c r="D442" i="1"/>
  <c r="E442" i="1"/>
  <c r="C441" i="1"/>
  <c r="D441" i="1"/>
  <c r="E441" i="1"/>
  <c r="C440" i="1"/>
  <c r="D440" i="1"/>
  <c r="E440" i="1"/>
  <c r="C439" i="1"/>
  <c r="D439" i="1"/>
  <c r="E439" i="1"/>
  <c r="C438" i="1"/>
  <c r="D438" i="1"/>
  <c r="E438" i="1"/>
  <c r="C437" i="1"/>
  <c r="D437" i="1"/>
  <c r="E437" i="1"/>
  <c r="C436" i="1"/>
  <c r="D436" i="1"/>
  <c r="E436" i="1"/>
  <c r="C435" i="1"/>
  <c r="D435" i="1"/>
  <c r="E435" i="1"/>
  <c r="C434" i="1"/>
  <c r="D434" i="1"/>
  <c r="E434" i="1"/>
  <c r="C433" i="1"/>
  <c r="D433" i="1"/>
  <c r="E433" i="1"/>
  <c r="C432" i="1"/>
  <c r="D432" i="1"/>
  <c r="E432" i="1"/>
  <c r="C431" i="1"/>
  <c r="D431" i="1"/>
  <c r="E431" i="1"/>
  <c r="C430" i="1"/>
  <c r="D430" i="1"/>
  <c r="E430" i="1"/>
  <c r="C429" i="1"/>
  <c r="D429" i="1"/>
  <c r="E429" i="1"/>
  <c r="C428" i="1"/>
  <c r="D428" i="1"/>
  <c r="E428" i="1"/>
  <c r="C427" i="1"/>
  <c r="D427" i="1"/>
  <c r="E427" i="1"/>
  <c r="C426" i="1"/>
  <c r="D426" i="1"/>
  <c r="E426" i="1"/>
  <c r="C425" i="1"/>
  <c r="D425" i="1"/>
  <c r="E425" i="1"/>
  <c r="C424" i="1"/>
  <c r="D424" i="1"/>
  <c r="E424" i="1"/>
  <c r="C423" i="1"/>
  <c r="D423" i="1"/>
  <c r="E423" i="1"/>
  <c r="C422" i="1"/>
  <c r="D422" i="1"/>
  <c r="E422" i="1"/>
  <c r="C421" i="1"/>
  <c r="D421" i="1"/>
  <c r="E421" i="1"/>
  <c r="C420" i="1"/>
  <c r="D420" i="1"/>
  <c r="E420" i="1"/>
  <c r="C419" i="1"/>
  <c r="D419" i="1"/>
  <c r="E419" i="1"/>
  <c r="C418" i="1"/>
  <c r="D418" i="1"/>
  <c r="E418" i="1"/>
  <c r="C417" i="1"/>
  <c r="D417" i="1"/>
  <c r="E417" i="1"/>
  <c r="C416" i="1"/>
  <c r="D416" i="1"/>
  <c r="E416" i="1"/>
  <c r="C415" i="1"/>
  <c r="D415" i="1"/>
  <c r="E415" i="1"/>
  <c r="C414" i="1"/>
  <c r="D414" i="1"/>
  <c r="E414" i="1"/>
  <c r="C413" i="1"/>
  <c r="D413" i="1"/>
  <c r="E413" i="1"/>
  <c r="C412" i="1"/>
  <c r="D412" i="1"/>
  <c r="E412" i="1"/>
  <c r="C411" i="1"/>
  <c r="D411" i="1"/>
  <c r="E411" i="1"/>
  <c r="C410" i="1"/>
  <c r="D410" i="1"/>
  <c r="E410" i="1"/>
  <c r="C409" i="1"/>
  <c r="D409" i="1"/>
  <c r="E409" i="1"/>
  <c r="C408" i="1"/>
  <c r="D408" i="1"/>
  <c r="E408" i="1"/>
  <c r="C407" i="1"/>
  <c r="D407" i="1"/>
  <c r="E407" i="1"/>
  <c r="C406" i="1"/>
  <c r="D406" i="1"/>
  <c r="E406" i="1"/>
  <c r="C405" i="1"/>
  <c r="D405" i="1"/>
  <c r="E405" i="1"/>
  <c r="C404" i="1"/>
  <c r="D404" i="1"/>
  <c r="E404" i="1"/>
  <c r="C403" i="1"/>
  <c r="D403" i="1"/>
  <c r="E403" i="1"/>
  <c r="C402" i="1"/>
  <c r="D402" i="1"/>
  <c r="E402" i="1"/>
  <c r="C401" i="1"/>
  <c r="D401" i="1"/>
  <c r="E401" i="1"/>
  <c r="C400" i="1"/>
  <c r="D400" i="1"/>
  <c r="E400" i="1"/>
  <c r="C399" i="1"/>
  <c r="D399" i="1"/>
  <c r="E399" i="1"/>
  <c r="E398" i="1"/>
  <c r="D398" i="1"/>
  <c r="C398" i="1"/>
  <c r="C397" i="1"/>
  <c r="D397" i="1"/>
  <c r="E397" i="1"/>
  <c r="C396" i="1"/>
  <c r="D396" i="1"/>
  <c r="E396" i="1"/>
  <c r="C395" i="1"/>
  <c r="D395" i="1"/>
  <c r="E395" i="1"/>
  <c r="C394" i="1"/>
  <c r="D394" i="1"/>
  <c r="E394" i="1"/>
  <c r="C393" i="1"/>
  <c r="D393" i="1"/>
  <c r="E393" i="1"/>
  <c r="C392" i="1"/>
  <c r="D392" i="1"/>
  <c r="E392" i="1"/>
  <c r="C391" i="1"/>
  <c r="D391" i="1"/>
  <c r="E391" i="1"/>
  <c r="C390" i="1"/>
  <c r="D390" i="1"/>
  <c r="E390" i="1"/>
  <c r="C389" i="1"/>
  <c r="D389" i="1"/>
  <c r="E389" i="1"/>
  <c r="C388" i="1"/>
  <c r="D388" i="1"/>
  <c r="E388" i="1"/>
  <c r="C387" i="1"/>
  <c r="D387" i="1"/>
  <c r="E387" i="1"/>
  <c r="C386" i="1"/>
  <c r="D386" i="1"/>
  <c r="E386" i="1"/>
  <c r="C385" i="1"/>
  <c r="D385" i="1"/>
  <c r="E385" i="1"/>
  <c r="C384" i="1"/>
  <c r="D384" i="1"/>
  <c r="E384" i="1"/>
  <c r="C383" i="1"/>
  <c r="D383" i="1"/>
  <c r="E383" i="1"/>
  <c r="C382" i="1"/>
  <c r="D382" i="1"/>
  <c r="E382" i="1"/>
  <c r="C381" i="1"/>
  <c r="D381" i="1"/>
  <c r="E381" i="1"/>
  <c r="C380" i="1"/>
  <c r="D380" i="1"/>
  <c r="E380" i="1"/>
  <c r="C379" i="1"/>
  <c r="D379" i="1"/>
  <c r="E379" i="1"/>
  <c r="C378" i="1"/>
  <c r="D378" i="1"/>
  <c r="E378" i="1"/>
  <c r="C377" i="1"/>
  <c r="D377" i="1"/>
  <c r="E377" i="1"/>
  <c r="C376" i="1"/>
  <c r="D376" i="1"/>
  <c r="E376" i="1"/>
  <c r="C375" i="1"/>
  <c r="D375" i="1"/>
  <c r="E375" i="1"/>
  <c r="C374" i="1"/>
  <c r="D374" i="1"/>
  <c r="E374" i="1"/>
  <c r="C373" i="1"/>
  <c r="D373" i="1"/>
  <c r="E373" i="1"/>
  <c r="C372" i="1"/>
  <c r="D372" i="1"/>
  <c r="E372" i="1"/>
  <c r="C371" i="1"/>
  <c r="D371" i="1"/>
  <c r="E371" i="1"/>
  <c r="C370" i="1"/>
  <c r="D370" i="1"/>
  <c r="E370" i="1"/>
  <c r="C369" i="1"/>
  <c r="D369" i="1"/>
  <c r="E369" i="1"/>
  <c r="E368" i="1"/>
  <c r="D368" i="1"/>
  <c r="C368" i="1"/>
  <c r="C367" i="1"/>
  <c r="D367" i="1"/>
  <c r="E367" i="1"/>
  <c r="C366" i="1"/>
  <c r="D366" i="1"/>
  <c r="E366" i="1"/>
  <c r="C365" i="1"/>
  <c r="D365" i="1"/>
  <c r="E365" i="1"/>
  <c r="C364" i="1"/>
  <c r="D364" i="1"/>
  <c r="E364" i="1"/>
  <c r="C363" i="1"/>
  <c r="D363" i="1"/>
  <c r="E363" i="1"/>
  <c r="C362" i="1"/>
  <c r="D362" i="1"/>
  <c r="E362" i="1"/>
  <c r="C361" i="1"/>
  <c r="D361" i="1"/>
  <c r="E361" i="1"/>
  <c r="C360" i="1"/>
  <c r="D360" i="1"/>
  <c r="E360" i="1"/>
  <c r="C359" i="1"/>
  <c r="D359" i="1"/>
  <c r="E359" i="1"/>
  <c r="C358" i="1"/>
  <c r="D358" i="1"/>
  <c r="E358" i="1"/>
  <c r="C357" i="1"/>
  <c r="D357" i="1"/>
  <c r="E357" i="1"/>
  <c r="C356" i="1"/>
  <c r="D356" i="1"/>
  <c r="E356" i="1"/>
  <c r="C355" i="1"/>
  <c r="D355" i="1"/>
  <c r="E355" i="1"/>
  <c r="C354" i="1"/>
  <c r="D354" i="1"/>
  <c r="E354" i="1"/>
  <c r="C353" i="1"/>
  <c r="D353" i="1"/>
  <c r="E353" i="1"/>
  <c r="C352" i="1"/>
  <c r="D352" i="1"/>
  <c r="E352" i="1"/>
  <c r="C351" i="1"/>
  <c r="D351" i="1"/>
  <c r="E351" i="1"/>
  <c r="C350" i="1"/>
  <c r="D350" i="1"/>
  <c r="E350" i="1"/>
  <c r="C349" i="1"/>
  <c r="D349" i="1"/>
  <c r="E349" i="1"/>
  <c r="C348" i="1"/>
  <c r="D348" i="1"/>
  <c r="E348" i="1"/>
  <c r="C347" i="1"/>
  <c r="D347" i="1"/>
  <c r="E347" i="1"/>
  <c r="C346" i="1"/>
  <c r="D346" i="1"/>
  <c r="E346" i="1"/>
  <c r="C345" i="1"/>
  <c r="D345" i="1"/>
  <c r="E345" i="1"/>
  <c r="E344" i="1"/>
  <c r="D344" i="1"/>
  <c r="C344" i="1"/>
  <c r="C343" i="1"/>
  <c r="D343" i="1"/>
  <c r="E343" i="1"/>
  <c r="C342" i="1"/>
  <c r="D342" i="1"/>
  <c r="E342" i="1"/>
  <c r="C341" i="1"/>
  <c r="D341" i="1"/>
  <c r="E341" i="1"/>
  <c r="C340" i="1"/>
  <c r="D340" i="1"/>
  <c r="E340" i="1"/>
  <c r="C339" i="1"/>
  <c r="D339" i="1"/>
  <c r="E339" i="1"/>
  <c r="C338" i="1"/>
  <c r="D338" i="1"/>
  <c r="E338" i="1"/>
  <c r="C337" i="1"/>
  <c r="D337" i="1"/>
  <c r="E337" i="1"/>
  <c r="C336" i="1"/>
  <c r="D336" i="1"/>
  <c r="E336" i="1"/>
  <c r="C335" i="1"/>
  <c r="D335" i="1"/>
  <c r="E335" i="1"/>
  <c r="C334" i="1"/>
  <c r="D334" i="1"/>
  <c r="E334" i="1"/>
  <c r="C333" i="1"/>
  <c r="D333" i="1"/>
  <c r="E333" i="1"/>
  <c r="C332" i="1"/>
  <c r="D332" i="1"/>
  <c r="E332" i="1"/>
  <c r="C331" i="1"/>
  <c r="D331" i="1"/>
  <c r="E331" i="1"/>
  <c r="C330" i="1"/>
  <c r="D330" i="1"/>
  <c r="E330" i="1"/>
  <c r="C329" i="1"/>
  <c r="D329" i="1"/>
  <c r="E329" i="1"/>
  <c r="C328" i="1"/>
  <c r="D328" i="1"/>
  <c r="E328" i="1"/>
  <c r="C327" i="1"/>
  <c r="D327" i="1"/>
  <c r="E327" i="1"/>
  <c r="C326" i="1"/>
  <c r="D326" i="1"/>
  <c r="E326" i="1"/>
  <c r="C325" i="1"/>
  <c r="D325" i="1"/>
  <c r="E325" i="1"/>
  <c r="C324" i="1"/>
  <c r="D324" i="1"/>
  <c r="E324" i="1"/>
  <c r="C323" i="1"/>
  <c r="D323" i="1"/>
  <c r="E323" i="1"/>
  <c r="C322" i="1"/>
  <c r="D322" i="1"/>
  <c r="E322" i="1"/>
  <c r="C321" i="1"/>
  <c r="D321" i="1"/>
  <c r="E321" i="1"/>
  <c r="C320" i="1"/>
  <c r="D320" i="1"/>
  <c r="E320" i="1"/>
  <c r="C319" i="1"/>
  <c r="D319" i="1"/>
  <c r="E319" i="1"/>
  <c r="C318" i="1"/>
  <c r="D318" i="1"/>
  <c r="E318" i="1"/>
  <c r="C317" i="1"/>
  <c r="D317" i="1"/>
  <c r="E317" i="1"/>
  <c r="C316" i="1"/>
  <c r="D316" i="1"/>
  <c r="E316" i="1"/>
  <c r="C315" i="1"/>
  <c r="D315" i="1"/>
  <c r="E315" i="1"/>
  <c r="C314" i="1"/>
  <c r="D314" i="1"/>
  <c r="E314" i="1"/>
  <c r="C313" i="1"/>
  <c r="D313" i="1"/>
  <c r="E313" i="1"/>
  <c r="C312" i="1"/>
  <c r="D312" i="1"/>
  <c r="E312" i="1"/>
  <c r="C311" i="1"/>
  <c r="D311" i="1"/>
  <c r="E311" i="1"/>
  <c r="C310" i="1"/>
  <c r="D310" i="1"/>
  <c r="E310" i="1"/>
  <c r="C309" i="1"/>
  <c r="D309" i="1"/>
  <c r="E309" i="1"/>
  <c r="C308" i="1"/>
  <c r="D308" i="1"/>
  <c r="E308" i="1"/>
  <c r="C307" i="1"/>
  <c r="D307" i="1"/>
  <c r="E307" i="1"/>
  <c r="C306" i="1"/>
  <c r="D306" i="1"/>
  <c r="E306" i="1"/>
  <c r="C305" i="1"/>
  <c r="D305" i="1"/>
  <c r="E305" i="1"/>
  <c r="C304" i="1"/>
  <c r="D304" i="1"/>
  <c r="E304" i="1"/>
  <c r="C303" i="1"/>
  <c r="D303" i="1"/>
  <c r="E303" i="1"/>
  <c r="C302" i="1"/>
  <c r="D302" i="1"/>
  <c r="E302" i="1"/>
  <c r="C301" i="1"/>
  <c r="D301" i="1"/>
  <c r="E301" i="1"/>
  <c r="C300" i="1"/>
  <c r="D300" i="1"/>
  <c r="E300" i="1"/>
  <c r="C299" i="1"/>
  <c r="D299" i="1"/>
  <c r="E299" i="1"/>
  <c r="C298" i="1"/>
  <c r="D298" i="1"/>
  <c r="E298" i="1"/>
  <c r="C297" i="1"/>
  <c r="D297" i="1"/>
  <c r="E297" i="1"/>
  <c r="C296" i="1"/>
  <c r="D296" i="1"/>
  <c r="E296" i="1"/>
  <c r="C295" i="1"/>
  <c r="D295" i="1"/>
  <c r="E295" i="1"/>
  <c r="C294" i="1"/>
  <c r="D294" i="1"/>
  <c r="E294" i="1"/>
  <c r="C293" i="1"/>
  <c r="D293" i="1"/>
  <c r="E293" i="1"/>
  <c r="C292" i="1"/>
  <c r="D292" i="1"/>
  <c r="E292" i="1"/>
  <c r="C291" i="1"/>
  <c r="D291" i="1"/>
  <c r="E291" i="1"/>
  <c r="C290" i="1"/>
  <c r="D290" i="1"/>
  <c r="E290" i="1"/>
  <c r="C289" i="1"/>
  <c r="D289" i="1"/>
  <c r="E289" i="1"/>
  <c r="C288" i="1"/>
  <c r="D288" i="1"/>
  <c r="E288" i="1"/>
  <c r="C287" i="1"/>
  <c r="D287" i="1"/>
  <c r="E287" i="1"/>
  <c r="C286" i="1"/>
  <c r="D286" i="1"/>
  <c r="E286" i="1"/>
  <c r="C285" i="1"/>
  <c r="D285" i="1"/>
  <c r="E285" i="1"/>
  <c r="C284" i="1"/>
  <c r="D284" i="1"/>
  <c r="E284" i="1"/>
  <c r="C283" i="1"/>
  <c r="D283" i="1"/>
  <c r="E283" i="1"/>
  <c r="C282" i="1"/>
  <c r="D282" i="1"/>
  <c r="E282" i="1"/>
  <c r="C281" i="1"/>
  <c r="D281" i="1"/>
  <c r="E281" i="1"/>
  <c r="C280" i="1"/>
  <c r="D280" i="1"/>
  <c r="E280" i="1"/>
  <c r="C279" i="1"/>
  <c r="D279" i="1"/>
  <c r="E279" i="1"/>
  <c r="C278" i="1"/>
  <c r="D278" i="1"/>
  <c r="E278" i="1"/>
  <c r="C277" i="1"/>
  <c r="D277" i="1"/>
  <c r="E277" i="1"/>
  <c r="C276" i="1"/>
  <c r="D276" i="1"/>
  <c r="E276" i="1"/>
  <c r="C275" i="1"/>
  <c r="D275" i="1"/>
  <c r="E275" i="1"/>
  <c r="C274" i="1"/>
  <c r="D274" i="1"/>
  <c r="E274" i="1"/>
  <c r="C273" i="1"/>
  <c r="D273" i="1"/>
  <c r="E273" i="1"/>
  <c r="C272" i="1"/>
  <c r="D272" i="1"/>
  <c r="E272" i="1"/>
  <c r="C271" i="1"/>
  <c r="D271" i="1"/>
  <c r="E271" i="1"/>
  <c r="C270" i="1"/>
  <c r="D270" i="1"/>
  <c r="E270" i="1"/>
  <c r="C269" i="1"/>
  <c r="D269" i="1"/>
  <c r="E269" i="1"/>
  <c r="C268" i="1"/>
  <c r="D268" i="1"/>
  <c r="E268" i="1"/>
  <c r="C267" i="1"/>
  <c r="D267" i="1"/>
  <c r="E267" i="1"/>
  <c r="C266" i="1"/>
  <c r="D266" i="1"/>
  <c r="E266" i="1"/>
  <c r="C265" i="1"/>
  <c r="D265" i="1"/>
  <c r="E265" i="1"/>
  <c r="C264" i="1"/>
  <c r="D264" i="1"/>
  <c r="E264" i="1"/>
  <c r="C263" i="1"/>
  <c r="D263" i="1"/>
  <c r="E263" i="1"/>
  <c r="C262" i="1"/>
  <c r="D262" i="1"/>
  <c r="E262" i="1"/>
  <c r="C261" i="1"/>
  <c r="D261" i="1"/>
  <c r="E261" i="1"/>
  <c r="C260" i="1"/>
  <c r="D260" i="1"/>
  <c r="E260" i="1"/>
  <c r="C259" i="1"/>
  <c r="D259" i="1"/>
  <c r="E259" i="1"/>
  <c r="C258" i="1"/>
  <c r="D258" i="1"/>
  <c r="E258" i="1"/>
  <c r="C257" i="1"/>
  <c r="D257" i="1"/>
  <c r="E257" i="1"/>
  <c r="C256" i="1"/>
  <c r="D256" i="1"/>
  <c r="E256" i="1"/>
  <c r="C255" i="1"/>
  <c r="D255" i="1"/>
  <c r="E255" i="1"/>
  <c r="C254" i="1"/>
  <c r="D254" i="1"/>
  <c r="E254" i="1"/>
  <c r="C253" i="1"/>
  <c r="D253" i="1"/>
  <c r="E253" i="1"/>
  <c r="C252" i="1"/>
  <c r="D252" i="1"/>
  <c r="E252" i="1"/>
  <c r="C251" i="1"/>
  <c r="D251" i="1"/>
  <c r="E251" i="1"/>
  <c r="C250" i="1"/>
  <c r="D250" i="1"/>
  <c r="E250" i="1"/>
  <c r="C249" i="1"/>
  <c r="D249" i="1"/>
  <c r="E249" i="1"/>
  <c r="C248" i="1"/>
  <c r="D248" i="1"/>
  <c r="E248" i="1"/>
  <c r="C247" i="1"/>
  <c r="D247" i="1"/>
  <c r="E247" i="1"/>
  <c r="C246" i="1"/>
  <c r="D246" i="1"/>
  <c r="E246" i="1"/>
  <c r="C245" i="1"/>
  <c r="D245" i="1"/>
  <c r="E245" i="1"/>
  <c r="C244" i="1"/>
  <c r="D244" i="1"/>
  <c r="E244" i="1"/>
  <c r="C243" i="1"/>
  <c r="D243" i="1"/>
  <c r="E243" i="1"/>
  <c r="C242" i="1"/>
  <c r="D242" i="1"/>
  <c r="E242" i="1"/>
  <c r="C241" i="1"/>
  <c r="D241" i="1"/>
  <c r="E241" i="1"/>
  <c r="C240" i="1"/>
  <c r="D240" i="1"/>
  <c r="E240" i="1"/>
  <c r="C239" i="1"/>
  <c r="D239" i="1"/>
  <c r="E239" i="1"/>
  <c r="C238" i="1"/>
  <c r="D238" i="1"/>
  <c r="E238" i="1"/>
  <c r="C237" i="1"/>
  <c r="D237" i="1"/>
  <c r="E237" i="1"/>
  <c r="C236" i="1"/>
  <c r="D236" i="1"/>
  <c r="E236" i="1"/>
  <c r="C235" i="1"/>
  <c r="D235" i="1"/>
  <c r="E235" i="1"/>
  <c r="C234" i="1"/>
  <c r="D234" i="1"/>
  <c r="E234" i="1"/>
  <c r="C233" i="1"/>
  <c r="D233" i="1"/>
  <c r="E233" i="1"/>
  <c r="C232" i="1"/>
  <c r="D232" i="1"/>
  <c r="E232" i="1"/>
  <c r="C231" i="1"/>
  <c r="D231" i="1"/>
  <c r="E231" i="1"/>
  <c r="C230" i="1"/>
  <c r="D230" i="1"/>
  <c r="E230" i="1"/>
  <c r="C229" i="1"/>
  <c r="D229" i="1"/>
  <c r="E229" i="1"/>
  <c r="C228" i="1"/>
  <c r="D228" i="1"/>
  <c r="E228" i="1"/>
  <c r="C227" i="1"/>
  <c r="D227" i="1"/>
  <c r="E227" i="1"/>
  <c r="C226" i="1"/>
  <c r="D226" i="1"/>
  <c r="E226" i="1"/>
  <c r="C225" i="1"/>
  <c r="D225" i="1"/>
  <c r="E225" i="1"/>
  <c r="C224" i="1"/>
  <c r="D224" i="1"/>
  <c r="E224" i="1"/>
  <c r="C223" i="1"/>
  <c r="D223" i="1"/>
  <c r="E223" i="1"/>
  <c r="C222" i="1"/>
  <c r="D222" i="1"/>
  <c r="E222" i="1"/>
  <c r="C221" i="1"/>
  <c r="D221" i="1"/>
  <c r="E221" i="1"/>
  <c r="C220" i="1"/>
  <c r="D220" i="1"/>
  <c r="E220" i="1"/>
  <c r="C219" i="1"/>
  <c r="D219" i="1"/>
  <c r="E219" i="1"/>
  <c r="C218" i="1"/>
  <c r="D218" i="1"/>
  <c r="E218" i="1"/>
  <c r="C217" i="1"/>
  <c r="D217" i="1"/>
  <c r="E217" i="1"/>
  <c r="C216" i="1"/>
  <c r="D216" i="1"/>
  <c r="E216" i="1"/>
  <c r="C215" i="1"/>
  <c r="D215" i="1"/>
  <c r="E215" i="1"/>
  <c r="C214" i="1"/>
  <c r="D214" i="1"/>
  <c r="E214" i="1"/>
  <c r="C213" i="1"/>
  <c r="D213" i="1"/>
  <c r="E213" i="1"/>
  <c r="C212" i="1"/>
  <c r="D212" i="1"/>
  <c r="E212" i="1"/>
  <c r="C211" i="1"/>
  <c r="D211" i="1"/>
  <c r="E211" i="1"/>
  <c r="C210" i="1"/>
  <c r="D210" i="1"/>
  <c r="E210" i="1"/>
  <c r="C209" i="1"/>
  <c r="D209" i="1"/>
  <c r="E209" i="1"/>
  <c r="C208" i="1"/>
  <c r="D208" i="1"/>
  <c r="E208" i="1"/>
  <c r="C207" i="1"/>
  <c r="D207" i="1"/>
  <c r="E207" i="1"/>
  <c r="C206" i="1"/>
  <c r="D206" i="1"/>
  <c r="E206" i="1"/>
  <c r="C205" i="1"/>
  <c r="D205" i="1"/>
  <c r="E205" i="1"/>
  <c r="C204" i="1"/>
  <c r="D204" i="1"/>
  <c r="E204" i="1"/>
  <c r="C203" i="1"/>
  <c r="D203" i="1"/>
  <c r="E203" i="1"/>
  <c r="C202" i="1"/>
  <c r="D202" i="1"/>
  <c r="E202" i="1"/>
  <c r="C201" i="1"/>
  <c r="D201" i="1"/>
  <c r="E201" i="1"/>
  <c r="C200" i="1"/>
  <c r="D200" i="1"/>
  <c r="E200" i="1"/>
  <c r="C199" i="1"/>
  <c r="D199" i="1"/>
  <c r="E199" i="1"/>
  <c r="C198" i="1"/>
  <c r="D198" i="1"/>
  <c r="E198" i="1"/>
  <c r="C197" i="1"/>
  <c r="D197" i="1"/>
  <c r="E197" i="1"/>
  <c r="C196" i="1"/>
  <c r="D196" i="1"/>
  <c r="E196" i="1"/>
  <c r="C195" i="1"/>
  <c r="D195" i="1"/>
  <c r="E195" i="1"/>
  <c r="C194" i="1"/>
  <c r="D194" i="1"/>
  <c r="E194" i="1"/>
  <c r="C193" i="1"/>
  <c r="D193" i="1"/>
  <c r="E193" i="1"/>
  <c r="C192" i="1"/>
  <c r="D192" i="1"/>
  <c r="E192" i="1"/>
  <c r="C191" i="1"/>
  <c r="D191" i="1"/>
  <c r="E191" i="1"/>
  <c r="C190" i="1"/>
  <c r="D190" i="1"/>
  <c r="E190" i="1"/>
  <c r="C189" i="1"/>
  <c r="D189" i="1"/>
  <c r="E189" i="1"/>
  <c r="C188" i="1"/>
  <c r="D188" i="1"/>
  <c r="E188" i="1"/>
  <c r="C187" i="1"/>
  <c r="D187" i="1"/>
  <c r="E187" i="1"/>
  <c r="C186" i="1"/>
  <c r="D186" i="1"/>
  <c r="E186" i="1"/>
  <c r="C185" i="1"/>
  <c r="D185" i="1"/>
  <c r="E185" i="1"/>
  <c r="C184" i="1"/>
  <c r="D184" i="1"/>
  <c r="E184" i="1"/>
  <c r="C183" i="1"/>
  <c r="D183" i="1"/>
  <c r="E183" i="1"/>
  <c r="C182" i="1"/>
  <c r="D182" i="1"/>
  <c r="E182" i="1"/>
  <c r="C181" i="1"/>
  <c r="D181" i="1"/>
  <c r="E181" i="1"/>
  <c r="C180" i="1"/>
  <c r="D180" i="1"/>
  <c r="E180" i="1"/>
  <c r="C179" i="1"/>
  <c r="D179" i="1"/>
  <c r="E179" i="1"/>
  <c r="C178" i="1"/>
  <c r="D178" i="1"/>
  <c r="E178" i="1"/>
  <c r="C177" i="1"/>
  <c r="D177" i="1"/>
  <c r="E177" i="1"/>
  <c r="E176" i="1"/>
  <c r="E175" i="1"/>
  <c r="C176" i="1"/>
  <c r="D176" i="1"/>
  <c r="C175" i="1"/>
  <c r="D175" i="1"/>
  <c r="E174" i="1"/>
  <c r="C174" i="1"/>
  <c r="D174" i="1"/>
  <c r="E173" i="1"/>
  <c r="E172" i="1"/>
  <c r="C173" i="1"/>
  <c r="D173" i="1"/>
  <c r="E171" i="1"/>
  <c r="C172" i="1"/>
  <c r="D172" i="1"/>
  <c r="C171" i="1"/>
  <c r="D171" i="1"/>
  <c r="E170" i="1"/>
  <c r="C170" i="1"/>
  <c r="D170" i="1"/>
  <c r="E169" i="1"/>
  <c r="E168" i="1"/>
  <c r="C169" i="1"/>
  <c r="D169" i="1"/>
  <c r="C168" i="1"/>
  <c r="D168" i="1"/>
  <c r="E167" i="1"/>
  <c r="C167" i="1"/>
  <c r="D167" i="1"/>
  <c r="E166" i="1"/>
  <c r="C166" i="1"/>
  <c r="D166" i="1"/>
  <c r="E165" i="1"/>
  <c r="C165" i="1"/>
  <c r="D165" i="1"/>
  <c r="E164" i="1"/>
  <c r="C164" i="1"/>
  <c r="D164" i="1"/>
  <c r="E163" i="1"/>
  <c r="C163" i="1"/>
  <c r="D163" i="1"/>
  <c r="E162" i="1"/>
  <c r="E161" i="1"/>
  <c r="C162" i="1"/>
  <c r="D162" i="1"/>
  <c r="C161" i="1"/>
  <c r="D161" i="1"/>
  <c r="E160" i="1"/>
  <c r="C160" i="1"/>
  <c r="D160" i="1"/>
  <c r="E159" i="1"/>
  <c r="C159" i="1"/>
  <c r="D159" i="1"/>
  <c r="E158" i="1"/>
  <c r="C158" i="1"/>
  <c r="D158" i="1"/>
  <c r="E156" i="1"/>
  <c r="D157" i="1"/>
  <c r="C157" i="1"/>
  <c r="C156" i="1"/>
  <c r="D156" i="1"/>
  <c r="E157" i="1"/>
  <c r="C155" i="1"/>
  <c r="D155" i="1"/>
  <c r="E155" i="1"/>
  <c r="C154" i="1"/>
  <c r="D154" i="1"/>
  <c r="E154" i="1"/>
  <c r="C153" i="1"/>
  <c r="D153" i="1"/>
  <c r="E153" i="1"/>
  <c r="C152" i="1"/>
  <c r="D152" i="1"/>
  <c r="E152" i="1"/>
  <c r="C151" i="1"/>
  <c r="D151" i="1"/>
  <c r="E151" i="1"/>
  <c r="C150" i="1"/>
  <c r="D150" i="1"/>
  <c r="E150" i="1"/>
  <c r="C149" i="1"/>
  <c r="D149" i="1"/>
  <c r="E149" i="1"/>
  <c r="C148" i="1"/>
  <c r="D148" i="1"/>
  <c r="E148" i="1"/>
  <c r="C147" i="1"/>
  <c r="D147" i="1"/>
  <c r="E147" i="1"/>
  <c r="C146" i="1"/>
  <c r="D146" i="1"/>
  <c r="E146" i="1"/>
  <c r="C145" i="1"/>
  <c r="D145" i="1"/>
  <c r="E145" i="1"/>
  <c r="C144" i="1"/>
  <c r="D144" i="1"/>
  <c r="E144" i="1"/>
  <c r="E143" i="1"/>
  <c r="D143" i="1"/>
  <c r="C143" i="1"/>
  <c r="C142" i="1"/>
  <c r="D142" i="1"/>
  <c r="E142" i="1"/>
  <c r="C141" i="1"/>
  <c r="D141" i="1"/>
  <c r="E141" i="1"/>
  <c r="C140" i="1"/>
  <c r="D140" i="1"/>
  <c r="E140" i="1"/>
  <c r="C139" i="1"/>
  <c r="D139" i="1"/>
  <c r="E139" i="1"/>
  <c r="C138" i="1"/>
  <c r="D138" i="1"/>
  <c r="E138" i="1"/>
  <c r="C137" i="1"/>
  <c r="D137" i="1"/>
  <c r="E137" i="1"/>
  <c r="C136" i="1"/>
  <c r="D136" i="1"/>
  <c r="E136" i="1"/>
  <c r="C135" i="1"/>
  <c r="D135" i="1"/>
  <c r="E135" i="1"/>
  <c r="C134" i="1"/>
  <c r="D134" i="1"/>
  <c r="E134" i="1"/>
  <c r="C133" i="1"/>
  <c r="D133" i="1"/>
  <c r="E133" i="1"/>
  <c r="C132" i="1"/>
  <c r="D132" i="1"/>
  <c r="E132" i="1"/>
  <c r="C131" i="1"/>
  <c r="D131" i="1"/>
  <c r="E131" i="1"/>
  <c r="C130" i="1"/>
  <c r="D130" i="1"/>
  <c r="E130" i="1"/>
  <c r="C129" i="1"/>
  <c r="D129" i="1"/>
  <c r="E129" i="1"/>
  <c r="C128" i="1"/>
  <c r="D128" i="1"/>
  <c r="E128" i="1"/>
  <c r="C127" i="1"/>
  <c r="D127" i="1"/>
  <c r="E127" i="1"/>
  <c r="C126" i="1"/>
  <c r="D126" i="1"/>
  <c r="E126" i="1"/>
  <c r="C125" i="1"/>
  <c r="D125" i="1"/>
  <c r="E125" i="1"/>
  <c r="E124" i="1"/>
  <c r="D124" i="1"/>
  <c r="C124" i="1"/>
  <c r="C123" i="1"/>
  <c r="D123" i="1"/>
  <c r="E123" i="1"/>
  <c r="C122" i="1"/>
  <c r="D122" i="1"/>
  <c r="E122" i="1"/>
  <c r="C121" i="1"/>
  <c r="D121" i="1"/>
  <c r="E121" i="1"/>
  <c r="C120" i="1"/>
  <c r="D120" i="1"/>
  <c r="E120" i="1"/>
  <c r="C119" i="1"/>
  <c r="D119" i="1"/>
  <c r="E119" i="1"/>
  <c r="C118" i="1"/>
  <c r="D118" i="1"/>
  <c r="E118" i="1"/>
  <c r="C117" i="1"/>
  <c r="D117" i="1"/>
  <c r="E117" i="1"/>
  <c r="C116" i="1"/>
  <c r="D116" i="1"/>
  <c r="E116" i="1"/>
  <c r="C115" i="1"/>
  <c r="D115" i="1"/>
  <c r="E115" i="1"/>
  <c r="C114" i="1"/>
  <c r="D114" i="1"/>
  <c r="E114" i="1"/>
  <c r="C113" i="1"/>
  <c r="D113" i="1"/>
  <c r="E113" i="1"/>
  <c r="C112" i="1"/>
  <c r="D112" i="1"/>
  <c r="E112" i="1"/>
  <c r="C111" i="1"/>
  <c r="D111" i="1"/>
  <c r="E111" i="1"/>
  <c r="C110" i="1"/>
  <c r="D110" i="1"/>
  <c r="E110" i="1"/>
  <c r="C109" i="1"/>
  <c r="D109" i="1"/>
  <c r="E109" i="1"/>
  <c r="C108" i="1"/>
  <c r="D108" i="1"/>
  <c r="E108" i="1"/>
  <c r="C107" i="1"/>
  <c r="D107" i="1"/>
  <c r="E107" i="1"/>
  <c r="C106" i="1"/>
  <c r="D106" i="1"/>
  <c r="E106" i="1"/>
  <c r="C105" i="1"/>
  <c r="D105" i="1"/>
  <c r="E105" i="1"/>
  <c r="C104" i="1"/>
  <c r="D104" i="1"/>
  <c r="E104" i="1"/>
  <c r="C103" i="1"/>
  <c r="D103" i="1"/>
  <c r="E103" i="1"/>
  <c r="C102" i="1"/>
  <c r="D102" i="1"/>
  <c r="E102" i="1"/>
  <c r="C101" i="1"/>
  <c r="D101" i="1"/>
  <c r="E101" i="1"/>
  <c r="C100" i="1"/>
  <c r="D100" i="1"/>
  <c r="E100" i="1"/>
  <c r="C99" i="1"/>
  <c r="D99" i="1"/>
  <c r="E99" i="1"/>
  <c r="C98" i="1"/>
  <c r="D98" i="1"/>
  <c r="E98" i="1"/>
  <c r="C97" i="1"/>
  <c r="D97" i="1"/>
  <c r="E97" i="1"/>
  <c r="C96" i="1"/>
  <c r="D96" i="1"/>
  <c r="E96" i="1"/>
  <c r="C95" i="1"/>
  <c r="D95" i="1"/>
  <c r="E95" i="1"/>
  <c r="C94" i="1"/>
  <c r="D94" i="1"/>
  <c r="E94" i="1"/>
  <c r="E93" i="1"/>
  <c r="D93" i="1"/>
  <c r="C93" i="1"/>
  <c r="C92" i="1"/>
  <c r="D92" i="1"/>
  <c r="E92" i="1"/>
  <c r="C91" i="1"/>
  <c r="D91" i="1"/>
  <c r="E91" i="1"/>
  <c r="C90" i="1"/>
  <c r="D90" i="1"/>
  <c r="E90" i="1"/>
  <c r="E89" i="1"/>
  <c r="D89" i="1"/>
  <c r="C89" i="1"/>
  <c r="C88" i="1"/>
  <c r="D88" i="1"/>
  <c r="E88" i="1"/>
  <c r="C87" i="1"/>
  <c r="D87" i="1"/>
  <c r="E87" i="1"/>
  <c r="C86" i="1"/>
  <c r="D86" i="1"/>
  <c r="E86" i="1"/>
  <c r="C85" i="1"/>
  <c r="D85" i="1"/>
  <c r="E85" i="1"/>
  <c r="C84" i="1"/>
  <c r="D84" i="1"/>
  <c r="E84" i="1"/>
  <c r="C83" i="1"/>
  <c r="D83" i="1"/>
  <c r="E83" i="1"/>
  <c r="C82" i="1"/>
  <c r="D82" i="1"/>
  <c r="E82" i="1"/>
  <c r="C81" i="1"/>
  <c r="D81" i="1"/>
  <c r="E81" i="1"/>
  <c r="C80" i="1"/>
  <c r="D80" i="1"/>
  <c r="E80" i="1"/>
  <c r="C79" i="1"/>
  <c r="D79" i="1"/>
  <c r="E79" i="1"/>
  <c r="C78" i="1"/>
  <c r="D78" i="1"/>
  <c r="E78" i="1"/>
  <c r="C77" i="1"/>
  <c r="D77" i="1"/>
  <c r="E77" i="1"/>
  <c r="C76" i="1"/>
  <c r="D76" i="1"/>
  <c r="E76" i="1"/>
  <c r="C75" i="1"/>
  <c r="D75" i="1"/>
  <c r="E75" i="1"/>
  <c r="C74" i="1"/>
  <c r="D74" i="1"/>
  <c r="E74" i="1"/>
  <c r="C73" i="1"/>
  <c r="D73" i="1"/>
  <c r="E73" i="1"/>
  <c r="C72" i="1"/>
  <c r="D72" i="1"/>
  <c r="E72" i="1"/>
  <c r="C71" i="1"/>
  <c r="D71" i="1"/>
  <c r="E71" i="1"/>
  <c r="C70" i="1"/>
  <c r="D70" i="1"/>
  <c r="E70" i="1"/>
  <c r="C69" i="1"/>
  <c r="D69" i="1"/>
  <c r="E69" i="1"/>
  <c r="C68" i="1"/>
  <c r="D68" i="1"/>
  <c r="E68" i="1"/>
  <c r="C67" i="1"/>
  <c r="D67" i="1"/>
  <c r="E67" i="1"/>
  <c r="E66" i="1"/>
  <c r="D66" i="1"/>
  <c r="C66" i="1"/>
  <c r="C65" i="1"/>
  <c r="D65" i="1"/>
  <c r="E65" i="1"/>
  <c r="C64" i="1"/>
  <c r="D64" i="1"/>
  <c r="E64" i="1"/>
  <c r="C63" i="1"/>
  <c r="D63" i="1"/>
  <c r="E63" i="1"/>
  <c r="C62" i="1"/>
  <c r="D62" i="1"/>
  <c r="E62" i="1"/>
  <c r="C61" i="1"/>
  <c r="D61" i="1"/>
  <c r="E61" i="1"/>
  <c r="C60" i="1"/>
  <c r="D60" i="1"/>
  <c r="E60" i="1"/>
  <c r="C59" i="1"/>
  <c r="D59" i="1"/>
  <c r="E59" i="1"/>
  <c r="C58" i="1"/>
  <c r="D58" i="1"/>
  <c r="E58" i="1"/>
  <c r="C57" i="1"/>
  <c r="D57" i="1"/>
  <c r="E57" i="1"/>
  <c r="C56" i="1"/>
  <c r="D56" i="1"/>
  <c r="E56" i="1"/>
  <c r="E55" i="1"/>
  <c r="D55" i="1"/>
  <c r="C55" i="1"/>
  <c r="E54" i="1"/>
  <c r="D54" i="1"/>
  <c r="C54" i="1"/>
  <c r="C53" i="1"/>
  <c r="D53" i="1"/>
  <c r="E53" i="1"/>
  <c r="C52" i="1"/>
  <c r="D52" i="1"/>
  <c r="E52" i="1"/>
  <c r="C51" i="1"/>
  <c r="D51" i="1"/>
  <c r="E51" i="1"/>
  <c r="E50" i="1"/>
  <c r="D50" i="1"/>
  <c r="C50"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2" i="1"/>
  <c r="C49" i="1"/>
  <c r="D49" i="1"/>
  <c r="C48" i="1"/>
  <c r="D48" i="1"/>
  <c r="C47" i="1"/>
  <c r="D47" i="1"/>
  <c r="C46" i="1"/>
  <c r="D46" i="1"/>
  <c r="C45" i="1"/>
  <c r="D45" i="1"/>
  <c r="C44" i="1"/>
  <c r="D44" i="1"/>
  <c r="C43" i="1"/>
  <c r="D43" i="1"/>
  <c r="C42" i="1"/>
  <c r="D42" i="1"/>
  <c r="C41" i="1"/>
  <c r="D41" i="1"/>
  <c r="C40" i="1"/>
  <c r="D40" i="1"/>
  <c r="C39" i="1"/>
  <c r="D39" i="1"/>
  <c r="C38" i="1"/>
  <c r="D38" i="1"/>
  <c r="C37" i="1"/>
  <c r="D37" i="1"/>
  <c r="C36" i="1"/>
  <c r="D36" i="1"/>
  <c r="C35" i="1"/>
  <c r="D35" i="1"/>
  <c r="C34" i="1"/>
  <c r="D34" i="1"/>
  <c r="C33" i="1"/>
  <c r="D33" i="1"/>
  <c r="C32" i="1"/>
  <c r="D32" i="1"/>
  <c r="C31" i="1"/>
  <c r="D31" i="1"/>
  <c r="C30" i="1"/>
  <c r="D30" i="1"/>
  <c r="C29" i="1"/>
  <c r="D29" i="1"/>
  <c r="C28" i="1"/>
  <c r="D28" i="1"/>
  <c r="C27" i="1"/>
  <c r="D27" i="1"/>
  <c r="C26" i="1"/>
  <c r="D26" i="1"/>
  <c r="C25" i="1"/>
  <c r="D25" i="1"/>
  <c r="C24" i="1"/>
  <c r="D24" i="1"/>
  <c r="D23" i="1"/>
  <c r="C23" i="1"/>
  <c r="C22" i="1"/>
  <c r="D22" i="1"/>
  <c r="C3" i="1"/>
  <c r="C4" i="1"/>
  <c r="C5" i="1"/>
  <c r="C6" i="1"/>
  <c r="C7" i="1"/>
  <c r="C8" i="1"/>
  <c r="C9" i="1"/>
  <c r="C10" i="1"/>
  <c r="C11" i="1"/>
  <c r="C12" i="1"/>
  <c r="C13" i="1"/>
  <c r="C14" i="1"/>
  <c r="C15" i="1"/>
  <c r="C16" i="1"/>
  <c r="C17" i="1"/>
  <c r="C18" i="1"/>
  <c r="C19" i="1"/>
  <c r="C20" i="1"/>
  <c r="C21" i="1"/>
  <c r="C2" i="1"/>
  <c r="D8" i="1"/>
  <c r="D9" i="1"/>
  <c r="D10" i="1"/>
  <c r="D11" i="1"/>
  <c r="D12" i="1"/>
  <c r="D13" i="1"/>
  <c r="D14" i="1"/>
  <c r="D15" i="1"/>
  <c r="D16" i="1"/>
  <c r="D17" i="1"/>
  <c r="D18" i="1"/>
  <c r="D19" i="1"/>
  <c r="D20" i="1"/>
  <c r="D21" i="1"/>
  <c r="D3" i="1"/>
  <c r="D4" i="1"/>
  <c r="D5" i="1"/>
  <c r="D6" i="1"/>
  <c r="D7"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565262-072B-4487-A7BB-D4A47A2BDC69}" keepAlive="1" name="Query - Expenses_Transactions" description="Connection to the 'Expenses_Transactions' query in the workbook." type="5" refreshedVersion="8" background="1" saveData="1">
    <dbPr connection="Provider=Microsoft.Mashup.OleDb.1;Data Source=$Workbook$;Location=Expenses_Transactions;Extended Properties=&quot;&quot;" command="SELECT * FROM [Expenses_Transactions]"/>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<sst xmlns="http://schemas.openxmlformats.org/spreadsheetml/2006/main" count="14081" uniqueCount="1248">
  <si>
    <t>Tranction_1d</t>
  </si>
  <si>
    <t>PCOO1</t>
  </si>
  <si>
    <t>PCOO2</t>
  </si>
  <si>
    <t>PCOO3</t>
  </si>
  <si>
    <t>PCOO4</t>
  </si>
  <si>
    <t>PCOO5</t>
  </si>
  <si>
    <t>PCOO6</t>
  </si>
  <si>
    <t>PCOO7</t>
  </si>
  <si>
    <t>PCOO8</t>
  </si>
  <si>
    <t>PCOO9</t>
  </si>
  <si>
    <t>PCOO10</t>
  </si>
  <si>
    <t>PCOO11</t>
  </si>
  <si>
    <t>PCOO12</t>
  </si>
  <si>
    <t>PCOO13</t>
  </si>
  <si>
    <t>PCOO14</t>
  </si>
  <si>
    <t>PCOO15</t>
  </si>
  <si>
    <t>PCOO16</t>
  </si>
  <si>
    <t>PCOO17</t>
  </si>
  <si>
    <t>PCOO18</t>
  </si>
  <si>
    <t>PCOO19</t>
  </si>
  <si>
    <t>PCOO20</t>
  </si>
  <si>
    <t>PCOO21</t>
  </si>
  <si>
    <t>PCOO22</t>
  </si>
  <si>
    <t>PCOO23</t>
  </si>
  <si>
    <t>PCOO24</t>
  </si>
  <si>
    <t>PCOO25</t>
  </si>
  <si>
    <t>PCOO26</t>
  </si>
  <si>
    <t>PCOO27</t>
  </si>
  <si>
    <t>PCOO28</t>
  </si>
  <si>
    <t>PCOO29</t>
  </si>
  <si>
    <t>PCOO30</t>
  </si>
  <si>
    <t>PCOO31</t>
  </si>
  <si>
    <t>PCOO32</t>
  </si>
  <si>
    <t>PCOO33</t>
  </si>
  <si>
    <t>PCOO34</t>
  </si>
  <si>
    <t>PCOO35</t>
  </si>
  <si>
    <t>PCOO36</t>
  </si>
  <si>
    <t>PCOO37</t>
  </si>
  <si>
    <t>PCOO38</t>
  </si>
  <si>
    <t>PCOO39</t>
  </si>
  <si>
    <t>PCOO40</t>
  </si>
  <si>
    <t>PCOO41</t>
  </si>
  <si>
    <t>PCOO42</t>
  </si>
  <si>
    <t>PCOO43</t>
  </si>
  <si>
    <t>PCOO44</t>
  </si>
  <si>
    <t>PCOO45</t>
  </si>
  <si>
    <t>PCOO46</t>
  </si>
  <si>
    <t>PCOO47</t>
  </si>
  <si>
    <t>PCOO48</t>
  </si>
  <si>
    <t>PCOO49</t>
  </si>
  <si>
    <t>PCOO50</t>
  </si>
  <si>
    <t>PCOO51</t>
  </si>
  <si>
    <t>PCOO52</t>
  </si>
  <si>
    <t>PCOO53</t>
  </si>
  <si>
    <t>PCOO54</t>
  </si>
  <si>
    <t>PCOO55</t>
  </si>
  <si>
    <t>PCOO56</t>
  </si>
  <si>
    <t>PCOO57</t>
  </si>
  <si>
    <t>PCOO58</t>
  </si>
  <si>
    <t>PCOO59</t>
  </si>
  <si>
    <t>PCOO60</t>
  </si>
  <si>
    <t>PCOO61</t>
  </si>
  <si>
    <t>PCOO62</t>
  </si>
  <si>
    <t>PCOO63</t>
  </si>
  <si>
    <t>PCOO64</t>
  </si>
  <si>
    <t>PCOO65</t>
  </si>
  <si>
    <t>PCOO66</t>
  </si>
  <si>
    <t>PCOO67</t>
  </si>
  <si>
    <t>PCOO68</t>
  </si>
  <si>
    <t>PCOO69</t>
  </si>
  <si>
    <t>PCOO70</t>
  </si>
  <si>
    <t>PCOO71</t>
  </si>
  <si>
    <t>PCOO72</t>
  </si>
  <si>
    <t>PCOO73</t>
  </si>
  <si>
    <t>PCOO74</t>
  </si>
  <si>
    <t>PCOO75</t>
  </si>
  <si>
    <t>PCOO76</t>
  </si>
  <si>
    <t>PCOO77</t>
  </si>
  <si>
    <t>PCOO78</t>
  </si>
  <si>
    <t>PCOO79</t>
  </si>
  <si>
    <t>PCOO80</t>
  </si>
  <si>
    <t>PCOO81</t>
  </si>
  <si>
    <t>PCOO82</t>
  </si>
  <si>
    <t>PCOO83</t>
  </si>
  <si>
    <t>PCOO84</t>
  </si>
  <si>
    <t>PCOO85</t>
  </si>
  <si>
    <t>PCOO86</t>
  </si>
  <si>
    <t>PCOO87</t>
  </si>
  <si>
    <t>PCOO88</t>
  </si>
  <si>
    <t>PCOO89</t>
  </si>
  <si>
    <t>PCOO90</t>
  </si>
  <si>
    <t>PCOO91</t>
  </si>
  <si>
    <t>PCOO92</t>
  </si>
  <si>
    <t>PCOO93</t>
  </si>
  <si>
    <t>PCOO94</t>
  </si>
  <si>
    <t>PCOO95</t>
  </si>
  <si>
    <t>PCOO96</t>
  </si>
  <si>
    <t>PCOO97</t>
  </si>
  <si>
    <t>PCOO98</t>
  </si>
  <si>
    <t>PCOO99</t>
  </si>
  <si>
    <t>PCOO100</t>
  </si>
  <si>
    <t>PCOO101</t>
  </si>
  <si>
    <t>PCOO102</t>
  </si>
  <si>
    <t>PCOO103</t>
  </si>
  <si>
    <t>PCOO104</t>
  </si>
  <si>
    <t>PCOO105</t>
  </si>
  <si>
    <t>PCOO106</t>
  </si>
  <si>
    <t>PCOO107</t>
  </si>
  <si>
    <t>PCOO108</t>
  </si>
  <si>
    <t>PCOO109</t>
  </si>
  <si>
    <t>PCOO110</t>
  </si>
  <si>
    <t>PCOO111</t>
  </si>
  <si>
    <t>PCOO112</t>
  </si>
  <si>
    <t>PCOO113</t>
  </si>
  <si>
    <t>PCOO114</t>
  </si>
  <si>
    <t>PCOO115</t>
  </si>
  <si>
    <t>PCOO116</t>
  </si>
  <si>
    <t>PCOO117</t>
  </si>
  <si>
    <t>PCOO118</t>
  </si>
  <si>
    <t>PCOO119</t>
  </si>
  <si>
    <t>PCOO120</t>
  </si>
  <si>
    <t>PCOO121</t>
  </si>
  <si>
    <t>PCOO122</t>
  </si>
  <si>
    <t>PCOO123</t>
  </si>
  <si>
    <t>PCOO124</t>
  </si>
  <si>
    <t>PCOO125</t>
  </si>
  <si>
    <t>PCOO126</t>
  </si>
  <si>
    <t>PCOO127</t>
  </si>
  <si>
    <t>PCOO128</t>
  </si>
  <si>
    <t>PCOO129</t>
  </si>
  <si>
    <t>PCOO130</t>
  </si>
  <si>
    <t>PCOO131</t>
  </si>
  <si>
    <t>PCOO132</t>
  </si>
  <si>
    <t>PCOO133</t>
  </si>
  <si>
    <t>PCOO134</t>
  </si>
  <si>
    <t>PCOO135</t>
  </si>
  <si>
    <t>PCOO136</t>
  </si>
  <si>
    <t>PCOO137</t>
  </si>
  <si>
    <t>PCOO138</t>
  </si>
  <si>
    <t>PCOO139</t>
  </si>
  <si>
    <t>PCOO140</t>
  </si>
  <si>
    <t>PCOO141</t>
  </si>
  <si>
    <t>PCOO142</t>
  </si>
  <si>
    <t>PCOO143</t>
  </si>
  <si>
    <t>PCOO144</t>
  </si>
  <si>
    <t>PCOO145</t>
  </si>
  <si>
    <t>PCOO146</t>
  </si>
  <si>
    <t>PCOO147</t>
  </si>
  <si>
    <t>PCOO148</t>
  </si>
  <si>
    <t>PCOO149</t>
  </si>
  <si>
    <t>PCOO150</t>
  </si>
  <si>
    <t>PCOO151</t>
  </si>
  <si>
    <t>PCOO152</t>
  </si>
  <si>
    <t>PCOO153</t>
  </si>
  <si>
    <t>PCOO154</t>
  </si>
  <si>
    <t>PCOO155</t>
  </si>
  <si>
    <t>PCOO156</t>
  </si>
  <si>
    <t>PCOO157</t>
  </si>
  <si>
    <t>PCOO158</t>
  </si>
  <si>
    <t>PCOO159</t>
  </si>
  <si>
    <t>PCOO160</t>
  </si>
  <si>
    <t>PCOO161</t>
  </si>
  <si>
    <t>PCOO162</t>
  </si>
  <si>
    <t>PCOO163</t>
  </si>
  <si>
    <t>PCOO164</t>
  </si>
  <si>
    <t>PCOO165</t>
  </si>
  <si>
    <t>PCOO166</t>
  </si>
  <si>
    <t>PCOO167</t>
  </si>
  <si>
    <t>PCOO168</t>
  </si>
  <si>
    <t>PCOO169</t>
  </si>
  <si>
    <t>PCOO170</t>
  </si>
  <si>
    <t>PCOO171</t>
  </si>
  <si>
    <t>PCOO172</t>
  </si>
  <si>
    <t>PCOO173</t>
  </si>
  <si>
    <t>PCOO174</t>
  </si>
  <si>
    <t>PCOO175</t>
  </si>
  <si>
    <t>PCOO176</t>
  </si>
  <si>
    <t>PCOO177</t>
  </si>
  <si>
    <t>PCOO178</t>
  </si>
  <si>
    <t>PCOO179</t>
  </si>
  <si>
    <t>PCOO180</t>
  </si>
  <si>
    <t>PCOO181</t>
  </si>
  <si>
    <t>PCOO182</t>
  </si>
  <si>
    <t>PCOO183</t>
  </si>
  <si>
    <t>PCOO184</t>
  </si>
  <si>
    <t>PCOO185</t>
  </si>
  <si>
    <t>PCOO186</t>
  </si>
  <si>
    <t>PCOO187</t>
  </si>
  <si>
    <t>PCOO188</t>
  </si>
  <si>
    <t>PCOO189</t>
  </si>
  <si>
    <t>PCOO190</t>
  </si>
  <si>
    <t>PCOO191</t>
  </si>
  <si>
    <t>PCOO192</t>
  </si>
  <si>
    <t>PCOO193</t>
  </si>
  <si>
    <t>PCOO194</t>
  </si>
  <si>
    <t>PCOO195</t>
  </si>
  <si>
    <t>PCOO196</t>
  </si>
  <si>
    <t>PCOO197</t>
  </si>
  <si>
    <t>PCOO198</t>
  </si>
  <si>
    <t>PCOO199</t>
  </si>
  <si>
    <t>PCOO200</t>
  </si>
  <si>
    <t>PCOO201</t>
  </si>
  <si>
    <t>PCOO202</t>
  </si>
  <si>
    <t>PCOO203</t>
  </si>
  <si>
    <t>PCOO204</t>
  </si>
  <si>
    <t>PCOO205</t>
  </si>
  <si>
    <t>PCOO206</t>
  </si>
  <si>
    <t>PCOO207</t>
  </si>
  <si>
    <t>PCOO208</t>
  </si>
  <si>
    <t>PCOO209</t>
  </si>
  <si>
    <t>PCOO210</t>
  </si>
  <si>
    <t>PCOO211</t>
  </si>
  <si>
    <t>PCOO212</t>
  </si>
  <si>
    <t>PCOO213</t>
  </si>
  <si>
    <t>PCOO214</t>
  </si>
  <si>
    <t>PCOO215</t>
  </si>
  <si>
    <t>PCOO216</t>
  </si>
  <si>
    <t>PCOO217</t>
  </si>
  <si>
    <t>PCOO218</t>
  </si>
  <si>
    <t>PCOO219</t>
  </si>
  <si>
    <t>PCOO220</t>
  </si>
  <si>
    <t>PCOO221</t>
  </si>
  <si>
    <t>PCOO222</t>
  </si>
  <si>
    <t>PCOO223</t>
  </si>
  <si>
    <t>PCOO224</t>
  </si>
  <si>
    <t>PCOO225</t>
  </si>
  <si>
    <t>PCOO226</t>
  </si>
  <si>
    <t>PCOO227</t>
  </si>
  <si>
    <t>PCOO228</t>
  </si>
  <si>
    <t>PCOO229</t>
  </si>
  <si>
    <t>PCOO230</t>
  </si>
  <si>
    <t>PCOO231</t>
  </si>
  <si>
    <t>PCOO232</t>
  </si>
  <si>
    <t>PCOO233</t>
  </si>
  <si>
    <t>PCOO234</t>
  </si>
  <si>
    <t>PCOO235</t>
  </si>
  <si>
    <t>PCOO236</t>
  </si>
  <si>
    <t>PCOO237</t>
  </si>
  <si>
    <t>PCOO238</t>
  </si>
  <si>
    <t>PCOO239</t>
  </si>
  <si>
    <t>PCOO240</t>
  </si>
  <si>
    <t>PCOO241</t>
  </si>
  <si>
    <t>PCOO242</t>
  </si>
  <si>
    <t>PCOO243</t>
  </si>
  <si>
    <t>PCOO244</t>
  </si>
  <si>
    <t>PCOO245</t>
  </si>
  <si>
    <t>PCOO246</t>
  </si>
  <si>
    <t>PCOO247</t>
  </si>
  <si>
    <t>PCOO248</t>
  </si>
  <si>
    <t>PCOO249</t>
  </si>
  <si>
    <t>PCOO250</t>
  </si>
  <si>
    <t>PCOO251</t>
  </si>
  <si>
    <t>PCOO252</t>
  </si>
  <si>
    <t>PCOO253</t>
  </si>
  <si>
    <t>PCOO254</t>
  </si>
  <si>
    <t>PCOO255</t>
  </si>
  <si>
    <t>PCOO256</t>
  </si>
  <si>
    <t>PCOO257</t>
  </si>
  <si>
    <t>PCOO258</t>
  </si>
  <si>
    <t>PCOO259</t>
  </si>
  <si>
    <t>PCOO260</t>
  </si>
  <si>
    <t>PCOO261</t>
  </si>
  <si>
    <t>PCOO262</t>
  </si>
  <si>
    <t>PCOO263</t>
  </si>
  <si>
    <t>PCOO264</t>
  </si>
  <si>
    <t>PCOO265</t>
  </si>
  <si>
    <t>PCOO266</t>
  </si>
  <si>
    <t>PCOO267</t>
  </si>
  <si>
    <t>PCOO268</t>
  </si>
  <si>
    <t>PCOO269</t>
  </si>
  <si>
    <t>PCOO270</t>
  </si>
  <si>
    <t>PCOO271</t>
  </si>
  <si>
    <t>PCOO272</t>
  </si>
  <si>
    <t>PCOO273</t>
  </si>
  <si>
    <t>PCOO274</t>
  </si>
  <si>
    <t>PCOO275</t>
  </si>
  <si>
    <t>PCOO276</t>
  </si>
  <si>
    <t>PCOO277</t>
  </si>
  <si>
    <t>PCOO278</t>
  </si>
  <si>
    <t>PCOO279</t>
  </si>
  <si>
    <t>PCOO280</t>
  </si>
  <si>
    <t>PCOO281</t>
  </si>
  <si>
    <t>PCOO282</t>
  </si>
  <si>
    <t>PCOO283</t>
  </si>
  <si>
    <t>PCOO284</t>
  </si>
  <si>
    <t>PCOO285</t>
  </si>
  <si>
    <t>PCOO286</t>
  </si>
  <si>
    <t>PCOO287</t>
  </si>
  <si>
    <t>PCOO288</t>
  </si>
  <si>
    <t>PCOO289</t>
  </si>
  <si>
    <t>PCOO290</t>
  </si>
  <si>
    <t>PCOO291</t>
  </si>
  <si>
    <t>PCOO292</t>
  </si>
  <si>
    <t>PCOO293</t>
  </si>
  <si>
    <t>PCOO294</t>
  </si>
  <si>
    <t>PCOO295</t>
  </si>
  <si>
    <t>PCOO296</t>
  </si>
  <si>
    <t>PCOO297</t>
  </si>
  <si>
    <t>PCOO298</t>
  </si>
  <si>
    <t>PCOO299</t>
  </si>
  <si>
    <t>PCOO300</t>
  </si>
  <si>
    <t>PCOO301</t>
  </si>
  <si>
    <t>PCOO302</t>
  </si>
  <si>
    <t>PCOO303</t>
  </si>
  <si>
    <t>PCOO304</t>
  </si>
  <si>
    <t>PCOO305</t>
  </si>
  <si>
    <t>PCOO306</t>
  </si>
  <si>
    <t>PCOO307</t>
  </si>
  <si>
    <t>PCOO308</t>
  </si>
  <si>
    <t>PCOO309</t>
  </si>
  <si>
    <t>PCOO310</t>
  </si>
  <si>
    <t>PCOO311</t>
  </si>
  <si>
    <t>PCOO312</t>
  </si>
  <si>
    <t>PCOO313</t>
  </si>
  <si>
    <t>PCOO314</t>
  </si>
  <si>
    <t>PCOO315</t>
  </si>
  <si>
    <t>PCOO316</t>
  </si>
  <si>
    <t>PCOO317</t>
  </si>
  <si>
    <t>PCOO318</t>
  </si>
  <si>
    <t>PCOO319</t>
  </si>
  <si>
    <t>PCOO320</t>
  </si>
  <si>
    <t>PCOO321</t>
  </si>
  <si>
    <t>PCOO322</t>
  </si>
  <si>
    <t>PCOO323</t>
  </si>
  <si>
    <t>PCOO324</t>
  </si>
  <si>
    <t>PCOO325</t>
  </si>
  <si>
    <t>PCOO326</t>
  </si>
  <si>
    <t>PCOO327</t>
  </si>
  <si>
    <t>PCOO328</t>
  </si>
  <si>
    <t>PCOO329</t>
  </si>
  <si>
    <t>PCOO330</t>
  </si>
  <si>
    <t>PCOO331</t>
  </si>
  <si>
    <t>PCOO332</t>
  </si>
  <si>
    <t>PCOO333</t>
  </si>
  <si>
    <t>PCOO334</t>
  </si>
  <si>
    <t>PCOO335</t>
  </si>
  <si>
    <t>PCOO336</t>
  </si>
  <si>
    <t>PCOO337</t>
  </si>
  <si>
    <t>PCOO338</t>
  </si>
  <si>
    <t>PCOO339</t>
  </si>
  <si>
    <t>PCOO340</t>
  </si>
  <si>
    <t>PCOO341</t>
  </si>
  <si>
    <t>PCOO342</t>
  </si>
  <si>
    <t>PCOO343</t>
  </si>
  <si>
    <t>PCOO344</t>
  </si>
  <si>
    <t>PCOO345</t>
  </si>
  <si>
    <t>PCOO346</t>
  </si>
  <si>
    <t>PCOO347</t>
  </si>
  <si>
    <t>PCOO348</t>
  </si>
  <si>
    <t>PCOO349</t>
  </si>
  <si>
    <t>PCOO350</t>
  </si>
  <si>
    <t>PCOO351</t>
  </si>
  <si>
    <t>PCOO352</t>
  </si>
  <si>
    <t>PCOO353</t>
  </si>
  <si>
    <t>PCOO354</t>
  </si>
  <si>
    <t>PCOO355</t>
  </si>
  <si>
    <t>PCOO356</t>
  </si>
  <si>
    <t>PCOO357</t>
  </si>
  <si>
    <t>PCOO358</t>
  </si>
  <si>
    <t>PCOO359</t>
  </si>
  <si>
    <t>PCOO360</t>
  </si>
  <si>
    <t>PCOO361</t>
  </si>
  <si>
    <t>PCOO362</t>
  </si>
  <si>
    <t>PCOO363</t>
  </si>
  <si>
    <t>PCOO364</t>
  </si>
  <si>
    <t>PCOO365</t>
  </si>
  <si>
    <t>PCOO366</t>
  </si>
  <si>
    <t>PCOO367</t>
  </si>
  <si>
    <t>PCOO368</t>
  </si>
  <si>
    <t>PCOO369</t>
  </si>
  <si>
    <t>PCOO370</t>
  </si>
  <si>
    <t>PCOO371</t>
  </si>
  <si>
    <t>PCOO372</t>
  </si>
  <si>
    <t>PCOO373</t>
  </si>
  <si>
    <t>PCOO374</t>
  </si>
  <si>
    <t>PCOO375</t>
  </si>
  <si>
    <t>PCOO376</t>
  </si>
  <si>
    <t>PCOO377</t>
  </si>
  <si>
    <t>PCOO378</t>
  </si>
  <si>
    <t>PCOO379</t>
  </si>
  <si>
    <t>PCOO380</t>
  </si>
  <si>
    <t>PCOO381</t>
  </si>
  <si>
    <t>PCOO382</t>
  </si>
  <si>
    <t>PCOO383</t>
  </si>
  <si>
    <t>PCOO384</t>
  </si>
  <si>
    <t>PCOO385</t>
  </si>
  <si>
    <t>PCOO386</t>
  </si>
  <si>
    <t>PCOO387</t>
  </si>
  <si>
    <t>PCOO388</t>
  </si>
  <si>
    <t>PCOO389</t>
  </si>
  <si>
    <t>PCOO390</t>
  </si>
  <si>
    <t>PCOO391</t>
  </si>
  <si>
    <t>PCOO392</t>
  </si>
  <si>
    <t>PCOO393</t>
  </si>
  <si>
    <t>PCOO394</t>
  </si>
  <si>
    <t>PCOO395</t>
  </si>
  <si>
    <t>PCOO396</t>
  </si>
  <si>
    <t>PCOO397</t>
  </si>
  <si>
    <t>PCOO398</t>
  </si>
  <si>
    <t>PCOO399</t>
  </si>
  <si>
    <t>PCOO400</t>
  </si>
  <si>
    <t>PCOO401</t>
  </si>
  <si>
    <t>PCOO402</t>
  </si>
  <si>
    <t>PCOO403</t>
  </si>
  <si>
    <t>PCOO404</t>
  </si>
  <si>
    <t>PCOO405</t>
  </si>
  <si>
    <t>PCOO406</t>
  </si>
  <si>
    <t>PCOO407</t>
  </si>
  <si>
    <t>PCOO408</t>
  </si>
  <si>
    <t>PCOO409</t>
  </si>
  <si>
    <t>PCOO410</t>
  </si>
  <si>
    <t>PCOO411</t>
  </si>
  <si>
    <t>PCOO412</t>
  </si>
  <si>
    <t>PCOO413</t>
  </si>
  <si>
    <t>PCOO414</t>
  </si>
  <si>
    <t>PCOO415</t>
  </si>
  <si>
    <t>PCOO416</t>
  </si>
  <si>
    <t>PCOO417</t>
  </si>
  <si>
    <t>PCOO418</t>
  </si>
  <si>
    <t>PCOO419</t>
  </si>
  <si>
    <t>PCOO420</t>
  </si>
  <si>
    <t>PCOO421</t>
  </si>
  <si>
    <t>PCOO422</t>
  </si>
  <si>
    <t>PCOO423</t>
  </si>
  <si>
    <t>PCOO424</t>
  </si>
  <si>
    <t>PCOO425</t>
  </si>
  <si>
    <t>PCOO426</t>
  </si>
  <si>
    <t>PCOO427</t>
  </si>
  <si>
    <t>PCOO428</t>
  </si>
  <si>
    <t>PCOO429</t>
  </si>
  <si>
    <t>PCOO430</t>
  </si>
  <si>
    <t>PCOO431</t>
  </si>
  <si>
    <t>PCOO432</t>
  </si>
  <si>
    <t>PCOO433</t>
  </si>
  <si>
    <t>PCOO434</t>
  </si>
  <si>
    <t>PCOO435</t>
  </si>
  <si>
    <t>PCOO436</t>
  </si>
  <si>
    <t>PCOO437</t>
  </si>
  <si>
    <t>PCOO438</t>
  </si>
  <si>
    <t>PCOO439</t>
  </si>
  <si>
    <t>PCOO440</t>
  </si>
  <si>
    <t>PCOO441</t>
  </si>
  <si>
    <t>PCOO442</t>
  </si>
  <si>
    <t>PCOO443</t>
  </si>
  <si>
    <t>PCOO444</t>
  </si>
  <si>
    <t>PCOO445</t>
  </si>
  <si>
    <t>PCOO446</t>
  </si>
  <si>
    <t>PCOO447</t>
  </si>
  <si>
    <t>PCOO448</t>
  </si>
  <si>
    <t>PCOO449</t>
  </si>
  <si>
    <t>PCOO450</t>
  </si>
  <si>
    <t>PCOO451</t>
  </si>
  <si>
    <t>PCOO452</t>
  </si>
  <si>
    <t>PCOO453</t>
  </si>
  <si>
    <t>PCOO454</t>
  </si>
  <si>
    <t>PCOO455</t>
  </si>
  <si>
    <t>PCOO456</t>
  </si>
  <si>
    <t>PCOO457</t>
  </si>
  <si>
    <t>PCOO458</t>
  </si>
  <si>
    <t>PCOO459</t>
  </si>
  <si>
    <t>PCOO460</t>
  </si>
  <si>
    <t>PCOO461</t>
  </si>
  <si>
    <t>PCOO462</t>
  </si>
  <si>
    <t>PCOO463</t>
  </si>
  <si>
    <t>PCOO464</t>
  </si>
  <si>
    <t>PCOO465</t>
  </si>
  <si>
    <t>PCOO466</t>
  </si>
  <si>
    <t>PCOO467</t>
  </si>
  <si>
    <t>PCOO468</t>
  </si>
  <si>
    <t>PCOO469</t>
  </si>
  <si>
    <t>PCOO470</t>
  </si>
  <si>
    <t>PCOO471</t>
  </si>
  <si>
    <t>PCOO472</t>
  </si>
  <si>
    <t>PCOO473</t>
  </si>
  <si>
    <t>PCOO474</t>
  </si>
  <si>
    <t>PCOO475</t>
  </si>
  <si>
    <t>PCOO476</t>
  </si>
  <si>
    <t>PCOO477</t>
  </si>
  <si>
    <t>PCOO478</t>
  </si>
  <si>
    <t>PCOO479</t>
  </si>
  <si>
    <t>PCOO480</t>
  </si>
  <si>
    <t>PCOO481</t>
  </si>
  <si>
    <t>PCOO482</t>
  </si>
  <si>
    <t>PCOO483</t>
  </si>
  <si>
    <t>PCOO484</t>
  </si>
  <si>
    <t>PCOO485</t>
  </si>
  <si>
    <t>PCOO486</t>
  </si>
  <si>
    <t>PCOO487</t>
  </si>
  <si>
    <t>PCOO488</t>
  </si>
  <si>
    <t>PCOO489</t>
  </si>
  <si>
    <t>PCOO490</t>
  </si>
  <si>
    <t>PCOO491</t>
  </si>
  <si>
    <t>PCOO492</t>
  </si>
  <si>
    <t>PCOO493</t>
  </si>
  <si>
    <t>PCOO494</t>
  </si>
  <si>
    <t>PCOO495</t>
  </si>
  <si>
    <t>PCOO496</t>
  </si>
  <si>
    <t>PCOO497</t>
  </si>
  <si>
    <t>PCOO498</t>
  </si>
  <si>
    <t>PCOO499</t>
  </si>
  <si>
    <t>PCOO500</t>
  </si>
  <si>
    <t>PCOO501</t>
  </si>
  <si>
    <t>PCOO502</t>
  </si>
  <si>
    <t>PCOO503</t>
  </si>
  <si>
    <t>PCOO504</t>
  </si>
  <si>
    <t>PCOO505</t>
  </si>
  <si>
    <t>PCOO506</t>
  </si>
  <si>
    <t>PCOO507</t>
  </si>
  <si>
    <t>PCOO508</t>
  </si>
  <si>
    <t>PCOO509</t>
  </si>
  <si>
    <t>PCOO510</t>
  </si>
  <si>
    <t>PCOO511</t>
  </si>
  <si>
    <t>PCOO512</t>
  </si>
  <si>
    <t>PCOO513</t>
  </si>
  <si>
    <t>PCOO514</t>
  </si>
  <si>
    <t>PCOO515</t>
  </si>
  <si>
    <t>PCOO516</t>
  </si>
  <si>
    <t>PCOO517</t>
  </si>
  <si>
    <t>PCOO518</t>
  </si>
  <si>
    <t>PCOO519</t>
  </si>
  <si>
    <t>PCOO520</t>
  </si>
  <si>
    <t>PCOO521</t>
  </si>
  <si>
    <t>PCOO522</t>
  </si>
  <si>
    <t>PCOO523</t>
  </si>
  <si>
    <t>PCOO524</t>
  </si>
  <si>
    <t>PCOO525</t>
  </si>
  <si>
    <t>PCOO526</t>
  </si>
  <si>
    <t>PCOO527</t>
  </si>
  <si>
    <t>PCOO528</t>
  </si>
  <si>
    <t>PCOO529</t>
  </si>
  <si>
    <t>PCOO530</t>
  </si>
  <si>
    <t>PCOO531</t>
  </si>
  <si>
    <t>PCOO532</t>
  </si>
  <si>
    <t>PCOO533</t>
  </si>
  <si>
    <t>PCOO534</t>
  </si>
  <si>
    <t>PCOO535</t>
  </si>
  <si>
    <t>PCOO536</t>
  </si>
  <si>
    <t>PCOO537</t>
  </si>
  <si>
    <t>PCOO538</t>
  </si>
  <si>
    <t>PCOO539</t>
  </si>
  <si>
    <t>PCOO540</t>
  </si>
  <si>
    <t>PCOO541</t>
  </si>
  <si>
    <t>PCOO542</t>
  </si>
  <si>
    <t>PCOO543</t>
  </si>
  <si>
    <t>PCOO544</t>
  </si>
  <si>
    <t>PCOO545</t>
  </si>
  <si>
    <t>PCOO546</t>
  </si>
  <si>
    <t>PCOO547</t>
  </si>
  <si>
    <t>PCOO548</t>
  </si>
  <si>
    <t>PCOO549</t>
  </si>
  <si>
    <t>PCOO550</t>
  </si>
  <si>
    <t>PCOO551</t>
  </si>
  <si>
    <t>PCOO552</t>
  </si>
  <si>
    <t>PCOO553</t>
  </si>
  <si>
    <t>PCOO554</t>
  </si>
  <si>
    <t>PCOO555</t>
  </si>
  <si>
    <t>PCOO556</t>
  </si>
  <si>
    <t>PCOO557</t>
  </si>
  <si>
    <t>PCOO558</t>
  </si>
  <si>
    <t>PCOO559</t>
  </si>
  <si>
    <t>PCOO560</t>
  </si>
  <si>
    <t>PCOO561</t>
  </si>
  <si>
    <t>PCOO562</t>
  </si>
  <si>
    <t>PCOO563</t>
  </si>
  <si>
    <t>PCOO564</t>
  </si>
  <si>
    <t>PCOO565</t>
  </si>
  <si>
    <t>PCOO566</t>
  </si>
  <si>
    <t>PCOO567</t>
  </si>
  <si>
    <t>PCOO568</t>
  </si>
  <si>
    <t>PCOO569</t>
  </si>
  <si>
    <t>PCOO570</t>
  </si>
  <si>
    <t>PCOO571</t>
  </si>
  <si>
    <t>PCOO572</t>
  </si>
  <si>
    <t>PCOO573</t>
  </si>
  <si>
    <t>PCOO574</t>
  </si>
  <si>
    <t>PCOO575</t>
  </si>
  <si>
    <t>PCOO576</t>
  </si>
  <si>
    <t>PCOO577</t>
  </si>
  <si>
    <t>PCOO578</t>
  </si>
  <si>
    <t>PCOO579</t>
  </si>
  <si>
    <t>PCOO580</t>
  </si>
  <si>
    <t>PCOO581</t>
  </si>
  <si>
    <t>PCOO582</t>
  </si>
  <si>
    <t>PCOO583</t>
  </si>
  <si>
    <t>PCOO584</t>
  </si>
  <si>
    <t>PCOO585</t>
  </si>
  <si>
    <t>PCOO586</t>
  </si>
  <si>
    <t>PCOO587</t>
  </si>
  <si>
    <t>PCOO588</t>
  </si>
  <si>
    <t>PCOO589</t>
  </si>
  <si>
    <t>PCOO590</t>
  </si>
  <si>
    <t>PCOO591</t>
  </si>
  <si>
    <t>PCOO592</t>
  </si>
  <si>
    <t>PCOO593</t>
  </si>
  <si>
    <t>PCOO594</t>
  </si>
  <si>
    <t>PCOO595</t>
  </si>
  <si>
    <t>PCOO596</t>
  </si>
  <si>
    <t>PCOO597</t>
  </si>
  <si>
    <t>PCOO598</t>
  </si>
  <si>
    <t>PCOO599</t>
  </si>
  <si>
    <t>PCOO600</t>
  </si>
  <si>
    <t>PCOO601</t>
  </si>
  <si>
    <t>PCOO602</t>
  </si>
  <si>
    <t>PCOO603</t>
  </si>
  <si>
    <t>PCOO604</t>
  </si>
  <si>
    <t>PCOO605</t>
  </si>
  <si>
    <t>PCOO606</t>
  </si>
  <si>
    <t>PCOO607</t>
  </si>
  <si>
    <t>PCOO608</t>
  </si>
  <si>
    <t>PCOO609</t>
  </si>
  <si>
    <t>PCOO610</t>
  </si>
  <si>
    <t>PCOO611</t>
  </si>
  <si>
    <t>PCOO612</t>
  </si>
  <si>
    <t>PCOO613</t>
  </si>
  <si>
    <t>PCOO614</t>
  </si>
  <si>
    <t>PCOO615</t>
  </si>
  <si>
    <t>PCOO616</t>
  </si>
  <si>
    <t>PCOO617</t>
  </si>
  <si>
    <t>PCOO618</t>
  </si>
  <si>
    <t>PCOO619</t>
  </si>
  <si>
    <t>PCOO620</t>
  </si>
  <si>
    <t>PCOO621</t>
  </si>
  <si>
    <t>PCOO622</t>
  </si>
  <si>
    <t>PCOO623</t>
  </si>
  <si>
    <t>PCOO624</t>
  </si>
  <si>
    <t>PCOO625</t>
  </si>
  <si>
    <t>PCOO626</t>
  </si>
  <si>
    <t>PCOO627</t>
  </si>
  <si>
    <t>PCOO628</t>
  </si>
  <si>
    <t>PCOO629</t>
  </si>
  <si>
    <t>PCOO630</t>
  </si>
  <si>
    <t>PCOO631</t>
  </si>
  <si>
    <t>PCOO632</t>
  </si>
  <si>
    <t>PCOO633</t>
  </si>
  <si>
    <t>PCOO634</t>
  </si>
  <si>
    <t>PCOO635</t>
  </si>
  <si>
    <t>PCOO636</t>
  </si>
  <si>
    <t>PCOO637</t>
  </si>
  <si>
    <t>PCOO638</t>
  </si>
  <si>
    <t>PCOO639</t>
  </si>
  <si>
    <t>PCOO640</t>
  </si>
  <si>
    <t>PCOO641</t>
  </si>
  <si>
    <t>PCOO642</t>
  </si>
  <si>
    <t>PCOO643</t>
  </si>
  <si>
    <t>PCOO644</t>
  </si>
  <si>
    <t>PCOO645</t>
  </si>
  <si>
    <t>PCOO646</t>
  </si>
  <si>
    <t>PCOO647</t>
  </si>
  <si>
    <t>PCOO648</t>
  </si>
  <si>
    <t>PCOO649</t>
  </si>
  <si>
    <t>PCOO650</t>
  </si>
  <si>
    <t>PCOO651</t>
  </si>
  <si>
    <t>PCOO652</t>
  </si>
  <si>
    <t>PCOO653</t>
  </si>
  <si>
    <t>PCOO654</t>
  </si>
  <si>
    <t>PCOO655</t>
  </si>
  <si>
    <t>PCOO656</t>
  </si>
  <si>
    <t>PCOO657</t>
  </si>
  <si>
    <t>PCOO658</t>
  </si>
  <si>
    <t>PCOO659</t>
  </si>
  <si>
    <t>PCOO660</t>
  </si>
  <si>
    <t>PCOO661</t>
  </si>
  <si>
    <t>PCOO662</t>
  </si>
  <si>
    <t>PCOO663</t>
  </si>
  <si>
    <t>PCOO664</t>
  </si>
  <si>
    <t>PCOO665</t>
  </si>
  <si>
    <t>PCOO666</t>
  </si>
  <si>
    <t>PCOO667</t>
  </si>
  <si>
    <t>PCOO668</t>
  </si>
  <si>
    <t>PCOO669</t>
  </si>
  <si>
    <t>PCOO670</t>
  </si>
  <si>
    <t>PCOO671</t>
  </si>
  <si>
    <t>PCOO672</t>
  </si>
  <si>
    <t>PCOO673</t>
  </si>
  <si>
    <t>PCOO674</t>
  </si>
  <si>
    <t>PCOO675</t>
  </si>
  <si>
    <t>PCOO676</t>
  </si>
  <si>
    <t>PCOO677</t>
  </si>
  <si>
    <t>PCOO678</t>
  </si>
  <si>
    <t>PCOO679</t>
  </si>
  <si>
    <t>PCOO680</t>
  </si>
  <si>
    <t>PCOO681</t>
  </si>
  <si>
    <t>PCOO682</t>
  </si>
  <si>
    <t>PCOO683</t>
  </si>
  <si>
    <t>PCOO684</t>
  </si>
  <si>
    <t>PCOO685</t>
  </si>
  <si>
    <t>PCOO686</t>
  </si>
  <si>
    <t>PCOO687</t>
  </si>
  <si>
    <t>PCOO688</t>
  </si>
  <si>
    <t>PCOO689</t>
  </si>
  <si>
    <t>PCOO690</t>
  </si>
  <si>
    <t>PCOO691</t>
  </si>
  <si>
    <t>PCOO692</t>
  </si>
  <si>
    <t>PCOO693</t>
  </si>
  <si>
    <t>PCOO694</t>
  </si>
  <si>
    <t>PCOO695</t>
  </si>
  <si>
    <t>PCOO696</t>
  </si>
  <si>
    <t>PCOO697</t>
  </si>
  <si>
    <t>PCOO698</t>
  </si>
  <si>
    <t>PCOO699</t>
  </si>
  <si>
    <t>PCOO700</t>
  </si>
  <si>
    <t>PCOO701</t>
  </si>
  <si>
    <t>PCOO702</t>
  </si>
  <si>
    <t>PCOO703</t>
  </si>
  <si>
    <t>PCOO704</t>
  </si>
  <si>
    <t>PCOO705</t>
  </si>
  <si>
    <t>PCOO706</t>
  </si>
  <si>
    <t>PCOO707</t>
  </si>
  <si>
    <t>PCOO708</t>
  </si>
  <si>
    <t>PCOO709</t>
  </si>
  <si>
    <t>PCOO710</t>
  </si>
  <si>
    <t>PCOO711</t>
  </si>
  <si>
    <t>PCOO712</t>
  </si>
  <si>
    <t>PCOO713</t>
  </si>
  <si>
    <t>PCOO714</t>
  </si>
  <si>
    <t>PCOO715</t>
  </si>
  <si>
    <t>PCOO716</t>
  </si>
  <si>
    <t>PCOO717</t>
  </si>
  <si>
    <t>PCOO718</t>
  </si>
  <si>
    <t>PCOO719</t>
  </si>
  <si>
    <t>PCOO720</t>
  </si>
  <si>
    <t>PCOO721</t>
  </si>
  <si>
    <t>PCOO722</t>
  </si>
  <si>
    <t>PCOO723</t>
  </si>
  <si>
    <t>PCOO724</t>
  </si>
  <si>
    <t>PCOO725</t>
  </si>
  <si>
    <t>PCOO726</t>
  </si>
  <si>
    <t>PCOO727</t>
  </si>
  <si>
    <t>PCOO728</t>
  </si>
  <si>
    <t>PCOO729</t>
  </si>
  <si>
    <t>PCOO730</t>
  </si>
  <si>
    <t>PCOO731</t>
  </si>
  <si>
    <t>PCOO732</t>
  </si>
  <si>
    <t>PCOO733</t>
  </si>
  <si>
    <t>PCOO734</t>
  </si>
  <si>
    <t>PCOO735</t>
  </si>
  <si>
    <t>PCOO736</t>
  </si>
  <si>
    <t>PCOO737</t>
  </si>
  <si>
    <t>PCOO738</t>
  </si>
  <si>
    <t>PCOO739</t>
  </si>
  <si>
    <t>PCOO740</t>
  </si>
  <si>
    <t>PCOO741</t>
  </si>
  <si>
    <t>PCOO742</t>
  </si>
  <si>
    <t>PCOO743</t>
  </si>
  <si>
    <t>PCOO744</t>
  </si>
  <si>
    <t>PCOO745</t>
  </si>
  <si>
    <t>PCOO746</t>
  </si>
  <si>
    <t>PCOO747</t>
  </si>
  <si>
    <t>PCOO748</t>
  </si>
  <si>
    <t>PCOO749</t>
  </si>
  <si>
    <t>PCOO750</t>
  </si>
  <si>
    <t>PCOO751</t>
  </si>
  <si>
    <t>PCOO752</t>
  </si>
  <si>
    <t>PCOO753</t>
  </si>
  <si>
    <t>PCOO754</t>
  </si>
  <si>
    <t>PCOO755</t>
  </si>
  <si>
    <t>PCOO756</t>
  </si>
  <si>
    <t>PCOO757</t>
  </si>
  <si>
    <t>PCOO758</t>
  </si>
  <si>
    <t>PCOO759</t>
  </si>
  <si>
    <t>PCOO760</t>
  </si>
  <si>
    <t>PCOO761</t>
  </si>
  <si>
    <t>PCOO762</t>
  </si>
  <si>
    <t>PCOO763</t>
  </si>
  <si>
    <t>PCOO764</t>
  </si>
  <si>
    <t>PCOO765</t>
  </si>
  <si>
    <t>PCOO766</t>
  </si>
  <si>
    <t>PCOO767</t>
  </si>
  <si>
    <t>PCOO768</t>
  </si>
  <si>
    <t>PCOO769</t>
  </si>
  <si>
    <t>PCOO770</t>
  </si>
  <si>
    <t>PCOO771</t>
  </si>
  <si>
    <t>PCOO772</t>
  </si>
  <si>
    <t>PCOO773</t>
  </si>
  <si>
    <t>PCOO774</t>
  </si>
  <si>
    <t>PCOO775</t>
  </si>
  <si>
    <t>PCOO776</t>
  </si>
  <si>
    <t>PCOO777</t>
  </si>
  <si>
    <t>PCOO778</t>
  </si>
  <si>
    <t>PCOO779</t>
  </si>
  <si>
    <t>PCOO780</t>
  </si>
  <si>
    <t>PCOO781</t>
  </si>
  <si>
    <t>PCOO782</t>
  </si>
  <si>
    <t>PCOO783</t>
  </si>
  <si>
    <t>PCOO784</t>
  </si>
  <si>
    <t>PCOO785</t>
  </si>
  <si>
    <t>PCOO786</t>
  </si>
  <si>
    <t>PCOO787</t>
  </si>
  <si>
    <t>PCOO788</t>
  </si>
  <si>
    <t>PCOO789</t>
  </si>
  <si>
    <t>PCOO790</t>
  </si>
  <si>
    <t>PCOO791</t>
  </si>
  <si>
    <t>PCOO792</t>
  </si>
  <si>
    <t>PCOO793</t>
  </si>
  <si>
    <t>PCOO794</t>
  </si>
  <si>
    <t>PCOO795</t>
  </si>
  <si>
    <t>PCOO796</t>
  </si>
  <si>
    <t>PCOO797</t>
  </si>
  <si>
    <t>PCOO798</t>
  </si>
  <si>
    <t>PCOO799</t>
  </si>
  <si>
    <t>PCOO800</t>
  </si>
  <si>
    <t>PCOO801</t>
  </si>
  <si>
    <t>PCOO802</t>
  </si>
  <si>
    <t>PCOO803</t>
  </si>
  <si>
    <t>PCOO804</t>
  </si>
  <si>
    <t>PCOO805</t>
  </si>
  <si>
    <t>PCOO806</t>
  </si>
  <si>
    <t>PCOO807</t>
  </si>
  <si>
    <t>PCOO808</t>
  </si>
  <si>
    <t>PCOO809</t>
  </si>
  <si>
    <t>PCOO810</t>
  </si>
  <si>
    <t>PCOO811</t>
  </si>
  <si>
    <t>PCOO812</t>
  </si>
  <si>
    <t>PCOO813</t>
  </si>
  <si>
    <t>PCOO814</t>
  </si>
  <si>
    <t>PCOO815</t>
  </si>
  <si>
    <t>PCOO816</t>
  </si>
  <si>
    <t>PCOO817</t>
  </si>
  <si>
    <t>PCOO818</t>
  </si>
  <si>
    <t>PCOO819</t>
  </si>
  <si>
    <t>PCOO820</t>
  </si>
  <si>
    <t>PCOO821</t>
  </si>
  <si>
    <t>PCOO822</t>
  </si>
  <si>
    <t>PCOO823</t>
  </si>
  <si>
    <t>PCOO824</t>
  </si>
  <si>
    <t>PCOO825</t>
  </si>
  <si>
    <t>PCOO826</t>
  </si>
  <si>
    <t>PCOO827</t>
  </si>
  <si>
    <t>PCOO828</t>
  </si>
  <si>
    <t>PCOO829</t>
  </si>
  <si>
    <t>PCOO830</t>
  </si>
  <si>
    <t>PCOO831</t>
  </si>
  <si>
    <t>PCOO832</t>
  </si>
  <si>
    <t>PCOO833</t>
  </si>
  <si>
    <t>PCOO834</t>
  </si>
  <si>
    <t>PCOO835</t>
  </si>
  <si>
    <t>PCOO836</t>
  </si>
  <si>
    <t>PCOO837</t>
  </si>
  <si>
    <t>PCOO838</t>
  </si>
  <si>
    <t>PCOO839</t>
  </si>
  <si>
    <t>PCOO840</t>
  </si>
  <si>
    <t>PCOO841</t>
  </si>
  <si>
    <t>PCOO842</t>
  </si>
  <si>
    <t>PCOO843</t>
  </si>
  <si>
    <t>PCOO844</t>
  </si>
  <si>
    <t>PCOO845</t>
  </si>
  <si>
    <t>PCOO846</t>
  </si>
  <si>
    <t>PCOO847</t>
  </si>
  <si>
    <t>PCOO848</t>
  </si>
  <si>
    <t>PCOO849</t>
  </si>
  <si>
    <t>PCOO850</t>
  </si>
  <si>
    <t>PCOO851</t>
  </si>
  <si>
    <t>PCOO852</t>
  </si>
  <si>
    <t>PCOO853</t>
  </si>
  <si>
    <t>PCOO854</t>
  </si>
  <si>
    <t>PCOO855</t>
  </si>
  <si>
    <t>PCOO856</t>
  </si>
  <si>
    <t>PCOO857</t>
  </si>
  <si>
    <t>PCOO858</t>
  </si>
  <si>
    <t>PCOO859</t>
  </si>
  <si>
    <t>PCOO860</t>
  </si>
  <si>
    <t>PCOO861</t>
  </si>
  <si>
    <t>PCOO862</t>
  </si>
  <si>
    <t>PCOO863</t>
  </si>
  <si>
    <t>PCOO864</t>
  </si>
  <si>
    <t>PCOO865</t>
  </si>
  <si>
    <t>PCOO866</t>
  </si>
  <si>
    <t>PCOO867</t>
  </si>
  <si>
    <t>PCOO868</t>
  </si>
  <si>
    <t>PCOO869</t>
  </si>
  <si>
    <t>PCOO870</t>
  </si>
  <si>
    <t>PCOO871</t>
  </si>
  <si>
    <t>PCOO872</t>
  </si>
  <si>
    <t>PCOO873</t>
  </si>
  <si>
    <t>PCOO874</t>
  </si>
  <si>
    <t>PCOO875</t>
  </si>
  <si>
    <t>PCOO876</t>
  </si>
  <si>
    <t>PCOO877</t>
  </si>
  <si>
    <t>PCOO878</t>
  </si>
  <si>
    <t>PCOO879</t>
  </si>
  <si>
    <t>PCOO880</t>
  </si>
  <si>
    <t>PCOO881</t>
  </si>
  <si>
    <t>PCOO882</t>
  </si>
  <si>
    <t>PCOO883</t>
  </si>
  <si>
    <t>PCOO884</t>
  </si>
  <si>
    <t>PCOO885</t>
  </si>
  <si>
    <t>PCOO886</t>
  </si>
  <si>
    <t>PCOO887</t>
  </si>
  <si>
    <t>PCOO888</t>
  </si>
  <si>
    <t>PCOO889</t>
  </si>
  <si>
    <t>PCOO890</t>
  </si>
  <si>
    <t>PCOO891</t>
  </si>
  <si>
    <t>PCOO892</t>
  </si>
  <si>
    <t>PCOO893</t>
  </si>
  <si>
    <t>PCOO894</t>
  </si>
  <si>
    <t>PCOO895</t>
  </si>
  <si>
    <t>PCOO896</t>
  </si>
  <si>
    <t>PCOO897</t>
  </si>
  <si>
    <t>PCOO898</t>
  </si>
  <si>
    <t>PCOO899</t>
  </si>
  <si>
    <t>PCOO900</t>
  </si>
  <si>
    <t>PCOO901</t>
  </si>
  <si>
    <t>PCOO902</t>
  </si>
  <si>
    <t>PCOO903</t>
  </si>
  <si>
    <t>PCOO904</t>
  </si>
  <si>
    <t>PCOO905</t>
  </si>
  <si>
    <t>PCOO906</t>
  </si>
  <si>
    <t>PCOO907</t>
  </si>
  <si>
    <t>PCOO908</t>
  </si>
  <si>
    <t>PCOO909</t>
  </si>
  <si>
    <t>PCOO910</t>
  </si>
  <si>
    <t>PCOO911</t>
  </si>
  <si>
    <t>PCOO912</t>
  </si>
  <si>
    <t>PCOO913</t>
  </si>
  <si>
    <t>PCOO914</t>
  </si>
  <si>
    <t>PCOO915</t>
  </si>
  <si>
    <t>PCOO916</t>
  </si>
  <si>
    <t>PCOO917</t>
  </si>
  <si>
    <t>PCOO918</t>
  </si>
  <si>
    <t>PCOO919</t>
  </si>
  <si>
    <t>PCOO920</t>
  </si>
  <si>
    <t>PCOO921</t>
  </si>
  <si>
    <t>PCOO922</t>
  </si>
  <si>
    <t>PCOO923</t>
  </si>
  <si>
    <t>PCOO924</t>
  </si>
  <si>
    <t>PCOO925</t>
  </si>
  <si>
    <t>PCOO926</t>
  </si>
  <si>
    <t>PCOO927</t>
  </si>
  <si>
    <t>PCOO928</t>
  </si>
  <si>
    <t>PCOO929</t>
  </si>
  <si>
    <t>PCOO930</t>
  </si>
  <si>
    <t>PCOO931</t>
  </si>
  <si>
    <t>PCOO932</t>
  </si>
  <si>
    <t>PCOO933</t>
  </si>
  <si>
    <t>PCOO934</t>
  </si>
  <si>
    <t>PCOO935</t>
  </si>
  <si>
    <t>PCOO936</t>
  </si>
  <si>
    <t>PCOO937</t>
  </si>
  <si>
    <t>PCOO938</t>
  </si>
  <si>
    <t>PCOO939</t>
  </si>
  <si>
    <t>PCOO940</t>
  </si>
  <si>
    <t>PCOO941</t>
  </si>
  <si>
    <t>PCOO942</t>
  </si>
  <si>
    <t>PCOO943</t>
  </si>
  <si>
    <t>PCOO944</t>
  </si>
  <si>
    <t>PCOO945</t>
  </si>
  <si>
    <t>PCOO946</t>
  </si>
  <si>
    <t>PCOO947</t>
  </si>
  <si>
    <t>PCOO948</t>
  </si>
  <si>
    <t>PCOO949</t>
  </si>
  <si>
    <t>PCOO950</t>
  </si>
  <si>
    <t>PCOO951</t>
  </si>
  <si>
    <t>PCOO952</t>
  </si>
  <si>
    <t>PCOO953</t>
  </si>
  <si>
    <t>PCOO954</t>
  </si>
  <si>
    <t>PCOO955</t>
  </si>
  <si>
    <t>PCOO956</t>
  </si>
  <si>
    <t>PCOO957</t>
  </si>
  <si>
    <t>PCOO958</t>
  </si>
  <si>
    <t>PCOO959</t>
  </si>
  <si>
    <t>PCOO960</t>
  </si>
  <si>
    <t>PCOO961</t>
  </si>
  <si>
    <t>PCOO962</t>
  </si>
  <si>
    <t>PCOO963</t>
  </si>
  <si>
    <t>PCOO964</t>
  </si>
  <si>
    <t>PCOO965</t>
  </si>
  <si>
    <t>PCOO966</t>
  </si>
  <si>
    <t>PCOO967</t>
  </si>
  <si>
    <t>PCOO968</t>
  </si>
  <si>
    <t>PCOO969</t>
  </si>
  <si>
    <t>PCOO970</t>
  </si>
  <si>
    <t>PCOO971</t>
  </si>
  <si>
    <t>PCOO972</t>
  </si>
  <si>
    <t>PCOO973</t>
  </si>
  <si>
    <t>PCOO974</t>
  </si>
  <si>
    <t>PCOO975</t>
  </si>
  <si>
    <t>PCOO976</t>
  </si>
  <si>
    <t>PCOO977</t>
  </si>
  <si>
    <t>PCOO978</t>
  </si>
  <si>
    <t>PCOO979</t>
  </si>
  <si>
    <t>PCOO980</t>
  </si>
  <si>
    <t>PCOO981</t>
  </si>
  <si>
    <t>PCOO982</t>
  </si>
  <si>
    <t>PCOO983</t>
  </si>
  <si>
    <t>PCOO984</t>
  </si>
  <si>
    <t>PCOO985</t>
  </si>
  <si>
    <t>PCOO986</t>
  </si>
  <si>
    <t>PCOO987</t>
  </si>
  <si>
    <t>PCOO988</t>
  </si>
  <si>
    <t>PCOO989</t>
  </si>
  <si>
    <t>PCOO990</t>
  </si>
  <si>
    <t>PCOO991</t>
  </si>
  <si>
    <t>PCOO992</t>
  </si>
  <si>
    <t>PCOO993</t>
  </si>
  <si>
    <t>PCOO994</t>
  </si>
  <si>
    <t>PCOO995</t>
  </si>
  <si>
    <t>PCOO996</t>
  </si>
  <si>
    <t>PCOO997</t>
  </si>
  <si>
    <t>PCOO998</t>
  </si>
  <si>
    <t>PCOO999</t>
  </si>
  <si>
    <t>PCOO1000</t>
  </si>
  <si>
    <t>Date</t>
  </si>
  <si>
    <t>Year</t>
  </si>
  <si>
    <t>Month</t>
  </si>
  <si>
    <t>Week_No</t>
  </si>
  <si>
    <t>Description</t>
  </si>
  <si>
    <t>Category</t>
  </si>
  <si>
    <t>Amount</t>
  </si>
  <si>
    <t>Payment _Method</t>
  </si>
  <si>
    <t>Approved_By</t>
  </si>
  <si>
    <t>Transport</t>
  </si>
  <si>
    <t>Fuel</t>
  </si>
  <si>
    <t>Office Supplies</t>
  </si>
  <si>
    <t>Utilities</t>
  </si>
  <si>
    <t>Welfare</t>
  </si>
  <si>
    <t>Miscelleneous</t>
  </si>
  <si>
    <t>Note</t>
  </si>
  <si>
    <t>call/data allowance</t>
  </si>
  <si>
    <t>electicity expenses</t>
  </si>
  <si>
    <t xml:space="preserve">weekly marketing </t>
  </si>
  <si>
    <t>purchase of fuel</t>
  </si>
  <si>
    <t>transport to the bank</t>
  </si>
  <si>
    <t>purchase of water</t>
  </si>
  <si>
    <t>waste dispoal</t>
  </si>
  <si>
    <t>fixing &amp;servicing gen</t>
  </si>
  <si>
    <t>recharge allowance</t>
  </si>
  <si>
    <t>travel allowance</t>
  </si>
  <si>
    <t>transfer</t>
  </si>
  <si>
    <t>card</t>
  </si>
  <si>
    <t>cash</t>
  </si>
  <si>
    <t>accountant</t>
  </si>
  <si>
    <t>summary sheet</t>
  </si>
  <si>
    <t>data allowance</t>
  </si>
  <si>
    <t>consumables</t>
  </si>
  <si>
    <t>transport to elizade</t>
  </si>
  <si>
    <t>marketing expenses</t>
  </si>
  <si>
    <t>internet sub PH1</t>
  </si>
  <si>
    <t>internet sub PH 2</t>
  </si>
  <si>
    <t>circuit braeker</t>
  </si>
  <si>
    <t>c _way water refill</t>
  </si>
  <si>
    <t>internet sub PH 3</t>
  </si>
  <si>
    <t>flight ticket</t>
  </si>
  <si>
    <t>internet  sub PH3</t>
  </si>
  <si>
    <t>transportation to mtn office</t>
  </si>
  <si>
    <t>purchase of office router charger</t>
  </si>
  <si>
    <t>travel expenses</t>
  </si>
  <si>
    <t>purchase of c_way water</t>
  </si>
  <si>
    <t>repair of office tools</t>
  </si>
  <si>
    <t>purchse of vechile battery</t>
  </si>
  <si>
    <t>internet sub PH 1</t>
  </si>
  <si>
    <t>purchase of  clip for office tap</t>
  </si>
  <si>
    <t xml:space="preserve">fumigation </t>
  </si>
  <si>
    <t>washing of office machine</t>
  </si>
  <si>
    <t>internet sub PH3</t>
  </si>
  <si>
    <t>transportation of parts</t>
  </si>
  <si>
    <t>out of station allowance</t>
  </si>
  <si>
    <t>fixing of office fan</t>
  </si>
  <si>
    <t>transportation to bonny</t>
  </si>
  <si>
    <t xml:space="preserve">internet sub PH2 </t>
  </si>
  <si>
    <t>fixing of office tap</t>
  </si>
  <si>
    <t>sim_swap for office</t>
  </si>
  <si>
    <t>delivery of parts</t>
  </si>
  <si>
    <t>business premises fee</t>
  </si>
  <si>
    <t>Payment method</t>
  </si>
  <si>
    <t>cleaning materials for office</t>
  </si>
  <si>
    <t>purchase of fuel for gen</t>
  </si>
  <si>
    <t>purchase of office supplies</t>
  </si>
  <si>
    <t>purchase of fuel  for office car</t>
  </si>
  <si>
    <t>purchase of fuel for car</t>
  </si>
  <si>
    <t>purchse of fuel for office car</t>
  </si>
  <si>
    <t>delivery of parts to onne</t>
  </si>
  <si>
    <t>purchase of office stationery</t>
  </si>
  <si>
    <t>purchase of new battery</t>
  </si>
  <si>
    <t>mobile police payment</t>
  </si>
  <si>
    <t xml:space="preserve">purchase of bulbs and padlock </t>
  </si>
  <si>
    <t>logistic of parts to ebonyi</t>
  </si>
  <si>
    <t>marketing expenses to anambra</t>
  </si>
  <si>
    <t>purchase of fuel for office car</t>
  </si>
  <si>
    <t>internet sub  PH 1</t>
  </si>
  <si>
    <t>internet sub  PH 2</t>
  </si>
  <si>
    <t>Internet sub PH 3</t>
  </si>
  <si>
    <t>purchase of wall sockect</t>
  </si>
  <si>
    <t>servicing of office vechile</t>
  </si>
  <si>
    <t>purchase of fuel for  car</t>
  </si>
  <si>
    <t>logistic of laptop to lagos</t>
  </si>
  <si>
    <t>internet sub  PH1</t>
  </si>
  <si>
    <t>purchase of fuel office car</t>
  </si>
  <si>
    <t>internet sub  PH3</t>
  </si>
  <si>
    <t>transport to onne to dangote</t>
  </si>
  <si>
    <t>servicing of office machine</t>
  </si>
  <si>
    <t>logistic of parts to calabar</t>
  </si>
  <si>
    <t xml:space="preserve">flight ticket </t>
  </si>
  <si>
    <t>transport to atuo  to pick office car</t>
  </si>
  <si>
    <t>purchase of fuel  car</t>
  </si>
  <si>
    <t>fixing of office chair</t>
  </si>
  <si>
    <t>logistic  to pick parts to &amp;fro</t>
  </si>
  <si>
    <t>purchase of padlock</t>
  </si>
  <si>
    <t>delivery of parts to fdgh</t>
  </si>
  <si>
    <t>bank charges on transaction</t>
  </si>
  <si>
    <t>fumigation</t>
  </si>
  <si>
    <t>logistics of parts to &amp;fro</t>
  </si>
  <si>
    <t>repair of office car</t>
  </si>
  <si>
    <t>purchase of fuel  office car</t>
  </si>
  <si>
    <t xml:space="preserve">purchase of towel for the office </t>
  </si>
  <si>
    <t xml:space="preserve">transportation of parts to &amp; fro </t>
  </si>
  <si>
    <t>delivery of parts to fdgh bori</t>
  </si>
  <si>
    <t>transportation of parts to &amp; fro onne</t>
  </si>
  <si>
    <t>washing of office tank</t>
  </si>
  <si>
    <t>purchase of padlock for entrance</t>
  </si>
  <si>
    <t>transport to atuo  office</t>
  </si>
  <si>
    <t>delivery of parts to &amp;fro</t>
  </si>
  <si>
    <t>purchase of extension &amp;battery</t>
  </si>
  <si>
    <t>repair of office cug phone</t>
  </si>
  <si>
    <t>transport to&amp; fro of parts to bori</t>
  </si>
  <si>
    <t>transport expenses of external auditors</t>
  </si>
  <si>
    <t>purchase of plug  for office grn</t>
  </si>
  <si>
    <t>marketing team lunch</t>
  </si>
  <si>
    <t>servicing of office gen</t>
  </si>
  <si>
    <t>purchase of cleaning material</t>
  </si>
  <si>
    <t>purchase of fuel  for gen</t>
  </si>
  <si>
    <t>purchase  of c_way water</t>
  </si>
  <si>
    <t>delivery of parts to lagos</t>
  </si>
  <si>
    <t>transport of parts to &amp;fro</t>
  </si>
  <si>
    <t xml:space="preserve">transport to bank </t>
  </si>
  <si>
    <t>delivery of parts to bori</t>
  </si>
  <si>
    <t>purchase of office fan</t>
  </si>
  <si>
    <t>repair of office laptop</t>
  </si>
  <si>
    <t>purchases of c way water</t>
  </si>
  <si>
    <t>port access to onne</t>
  </si>
  <si>
    <t xml:space="preserve">internet sub PH 1 </t>
  </si>
  <si>
    <t>patching of office car tyre</t>
  </si>
  <si>
    <t>purchase of wall socket</t>
  </si>
  <si>
    <t>purchase of office extension</t>
  </si>
  <si>
    <t>delivery  of parts to calabar</t>
  </si>
  <si>
    <t xml:space="preserve">purchase of stationery </t>
  </si>
  <si>
    <t>transport to auto to&amp;fro</t>
  </si>
  <si>
    <t>hiring of batteries for office machine</t>
  </si>
  <si>
    <t>hiring of loader for office machine</t>
  </si>
  <si>
    <t>purchase of printer ink</t>
  </si>
  <si>
    <t>renewal of international pasport</t>
  </si>
  <si>
    <t>waybill of parts to ebonyi</t>
  </si>
  <si>
    <t>purchase of plug  for office gen</t>
  </si>
  <si>
    <t xml:space="preserve">purchase of rope </t>
  </si>
  <si>
    <t>fixing of office table</t>
  </si>
  <si>
    <t>purchase of office host</t>
  </si>
  <si>
    <t>transport of auditors to &amp;fro</t>
  </si>
  <si>
    <t>logistics of parts to  abuja</t>
  </si>
  <si>
    <t>transport to purchase stationery</t>
  </si>
  <si>
    <t>general cleaning &amp;fumigation</t>
  </si>
  <si>
    <t>offloading of machine</t>
  </si>
  <si>
    <t>payment for customs &amp; NPA</t>
  </si>
  <si>
    <t>logistic to bori</t>
  </si>
  <si>
    <t>purchase of engine oil for gen</t>
  </si>
  <si>
    <t>logistics for parts delivery to onne</t>
  </si>
  <si>
    <t>techician assistant</t>
  </si>
  <si>
    <t>purchase of safety items</t>
  </si>
  <si>
    <t>purchase of fuel for maintainace of machine</t>
  </si>
  <si>
    <t>transport to buy parts for machine</t>
  </si>
  <si>
    <t>techician assistant for machine</t>
  </si>
  <si>
    <t>lunch for technician</t>
  </si>
  <si>
    <t>purchase of disel for machine</t>
  </si>
  <si>
    <t>puchase of lunch for technician</t>
  </si>
  <si>
    <t>pumpiing of tyre of machine</t>
  </si>
  <si>
    <t>technician assistant</t>
  </si>
  <si>
    <t>clearance  of certificate</t>
  </si>
  <si>
    <t>chemical cleaning for office cars</t>
  </si>
  <si>
    <t>logistic of parts to bori</t>
  </si>
  <si>
    <t>purchase of light 2 bulbs</t>
  </si>
  <si>
    <t>purchase of phone for ph office</t>
  </si>
  <si>
    <t>stationery</t>
  </si>
  <si>
    <t>new office maintainance</t>
  </si>
  <si>
    <t>plumbing work for the new office</t>
  </si>
  <si>
    <t>logistic of properties to the new office</t>
  </si>
  <si>
    <t>purchase of mob and battery</t>
  </si>
  <si>
    <t>purchase  of c_way water extra c-way bottle</t>
  </si>
  <si>
    <t>purchase of prime pump</t>
  </si>
  <si>
    <t>purchase of runall battery</t>
  </si>
  <si>
    <t>entry to onne</t>
  </si>
  <si>
    <t xml:space="preserve">purchase of return fuel valve </t>
  </si>
  <si>
    <t>purchase of CPM papers for   office car</t>
  </si>
  <si>
    <t>purchase of office gen plug</t>
  </si>
  <si>
    <t xml:space="preserve">logistic to&amp;fro to the bank </t>
  </si>
  <si>
    <t>repair of office desk</t>
  </si>
  <si>
    <t>tranport to lokoja state revenue</t>
  </si>
  <si>
    <t>delivery of parts to abia</t>
  </si>
  <si>
    <t>purchase of gen plug</t>
  </si>
  <si>
    <t>purchase of office cleaning materials</t>
  </si>
  <si>
    <t>delivery of engine oil to bori</t>
  </si>
  <si>
    <t>repair and payment of office car tyre</t>
  </si>
  <si>
    <t xml:space="preserve">purchase of fuel for  gen </t>
  </si>
  <si>
    <t>refresement for LIRS team</t>
  </si>
  <si>
    <t>purchase of blind and installation</t>
  </si>
  <si>
    <t>purchase of office drum</t>
  </si>
  <si>
    <t>purchase of toiletries and grocery</t>
  </si>
  <si>
    <t>purchase of towels and office sponge</t>
  </si>
  <si>
    <t>delivery of grease to bori</t>
  </si>
  <si>
    <t>logistic to&amp;fro to the bori</t>
  </si>
  <si>
    <t>Marketing</t>
  </si>
  <si>
    <t>Repairs/Maintainance</t>
  </si>
  <si>
    <t>Subscription</t>
  </si>
  <si>
    <t>Paye</t>
  </si>
  <si>
    <t>Waste Disposal</t>
  </si>
  <si>
    <t>Waste disposal</t>
  </si>
  <si>
    <t>Marketing expenses</t>
  </si>
  <si>
    <t>January</t>
  </si>
  <si>
    <t>Week1</t>
  </si>
  <si>
    <t>Transfer</t>
  </si>
  <si>
    <t>Week2</t>
  </si>
  <si>
    <t>Week3</t>
  </si>
  <si>
    <t>weekly marketing</t>
  </si>
  <si>
    <t>Week4</t>
  </si>
  <si>
    <t>Card</t>
  </si>
  <si>
    <t>Cash</t>
  </si>
  <si>
    <t>Week5</t>
  </si>
  <si>
    <t>February</t>
  </si>
  <si>
    <t>March</t>
  </si>
  <si>
    <t>April</t>
  </si>
  <si>
    <t>May</t>
  </si>
  <si>
    <t>internet sub PH2</t>
  </si>
  <si>
    <t>June</t>
  </si>
  <si>
    <t>purchase of bulbs and padlock</t>
  </si>
  <si>
    <t>July</t>
  </si>
  <si>
    <t>August</t>
  </si>
  <si>
    <t>September</t>
  </si>
  <si>
    <t>October</t>
  </si>
  <si>
    <t>purchase of towel for the office</t>
  </si>
  <si>
    <t>transportation of parts to &amp; fro</t>
  </si>
  <si>
    <t>November</t>
  </si>
  <si>
    <t>December</t>
  </si>
  <si>
    <t>transport to bank</t>
  </si>
  <si>
    <t>purchase of stationery</t>
  </si>
  <si>
    <t>purchase of rope</t>
  </si>
  <si>
    <t>purchase of return fuel valve</t>
  </si>
  <si>
    <t>logistic to&amp;fro to the bank</t>
  </si>
  <si>
    <t>purchase of fuel for  gen</t>
  </si>
  <si>
    <t>Column1</t>
  </si>
  <si>
    <t>Sum of Amount</t>
  </si>
  <si>
    <t>Monthly Expenses Trend</t>
  </si>
  <si>
    <t>Expenses by Category</t>
  </si>
  <si>
    <t>Payment Method Usage</t>
  </si>
  <si>
    <t>Column Labels</t>
  </si>
  <si>
    <t>Yearly Expense  Comparison</t>
  </si>
  <si>
    <t>Total Expenses</t>
  </si>
  <si>
    <t>Highest  Spending Category</t>
  </si>
  <si>
    <t>Hghest Spending Month</t>
  </si>
  <si>
    <t>Most Used Payment Method</t>
  </si>
  <si>
    <t>Average Monthly Spending</t>
  </si>
  <si>
    <t>Yearly Category Espenses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</si>
</sst>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8">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164" formatCode="&quot;₦&quot;#,##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font>
        <color rgb="FFFFFFFF"/>
      </font>
      <fill>
        <patternFill>
          <bgColor rgb="FF1B365D"/>
        </patternFill>
      </fill>
    </dxf>
    <dxf>
      <fill>
        <patternFill>
          <bgColor rgb="FF2B2B2B"/>
        </patternFill>
      </fill>
    </dxf>
  </dxfs>
  <tableStyles count="1" defaultTableStyle="TableStyleMedium2" defaultPivotStyle="PivotStyleLight16">
    <tableStyle name="Slicer Style 1" pivot="0" table="0" count="6" xr9:uid="{0C9FB84E-B7DE-42E5-8962-6D51A7289736}">
      <tableStyleElement type="wholeTable" dxfId="27"/>
      <tableStyleElement type="headerRow" dxfId="26"/>
    </tableStyle>
  </tableStyles>
  <colors>
    <mruColors>
      <color rgb="FF2B2B2B"/>
      <color rgb="FFF4A261"/>
      <color rgb="FF7A7A7A"/>
      <color rgb="FF3A3A3A"/>
      <color rgb="FFFFFFFF"/>
      <color rgb="FFA66A3F"/>
      <color rgb="FFD9D9D9"/>
      <color rgb="FF1E1E1E"/>
      <color rgb="FF1B365D"/>
      <color rgb="FF444444"/>
    </mruColors>
  </colors>
  <extLst>
    <ext xmlns:x14="http://schemas.microsoft.com/office/spreadsheetml/2009/9/main" uri="{46F421CA-312F-682f-3DD2-61675219B42D}">
      <x14:dxfs count="4">
        <dxf>
          <font>
            <color rgb="FFD9D9D9"/>
          </font>
          <fill>
            <patternFill>
              <bgColor rgb="FFA66A3F"/>
            </patternFill>
          </fill>
        </dxf>
        <dxf>
          <font>
            <color rgb="FF1E1E1E"/>
          </font>
          <fill>
            <patternFill>
              <bgColor rgb="FFF4A261"/>
            </patternFill>
          </fill>
        </dxf>
        <dxf>
          <font>
            <color rgb="FF7A7A7A"/>
          </font>
          <fill>
            <patternFill>
              <bgColor rgb="FF2B2B2B"/>
            </patternFill>
          </fill>
        </dxf>
        <dxf>
          <font>
            <color rgb="FFFFFFFF"/>
          </font>
          <fill>
            <patternFill>
              <bgColor rgb="FF3A3A3A"/>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[Petty_Cash_Expenses_2024_2025.xlsx]Pivot_table!PivotTable1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Expense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c:f>
              <c:strCache>
                <c:ptCount val="1"/>
                <c:pt idx="0">
                  <c:v>Total</c:v>
                </c:pt>
              </c:strCache>
            </c:strRef>
          </c:tx>
          <c:spPr>
            <a:ln w="28575" cap="rnd">
              <a:solidFill>
                <a:schemeClr val="accent1"/>
              </a:solidFill>
              <a:round/>
            </a:ln>
            <a:effectLst/>
          </c:spPr>
          <c:marker>
            <c:symbol val="none"/>
          </c:marker>
          <c:cat>
            <c:strRef>
              <c:f>Pivot_table!$A$4:$A$15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Pivot_table!$B$4:$B$15</c:f>
              <c:numCache>
                <c:formatCode>"₦"#,##0</c:formatCode>
                <c:ptCount val="12"/>
                <c:pt idx="0">
                  <c:v>690390</c:v>
                </c:pt>
                <c:pt idx="1">
                  <c:v>746350</c:v>
                </c:pt>
                <c:pt idx="2">
                  <c:v>980140</c:v>
                </c:pt>
                <c:pt idx="3">
                  <c:v>1049653</c:v>
                </c:pt>
                <c:pt idx="4">
                  <c:v>1410930</c:v>
                </c:pt>
                <c:pt idx="5">
                  <c:v>1297990</c:v>
                </c:pt>
                <c:pt idx="6">
                  <c:v>1586300</c:v>
                </c:pt>
                <c:pt idx="7">
                  <c:v>966230</c:v>
                </c:pt>
                <c:pt idx="8">
                  <c:v>1399410</c:v>
                </c:pt>
                <c:pt idx="9">
                  <c:v>1062010</c:v>
                </c:pt>
                <c:pt idx="10">
                  <c:v>862020</c:v>
                </c:pt>
                <c:pt idx="11">
                  <c:v>888510</c:v>
                </c:pt>
              </c:numCache>
            </c:numRef>
          </c:val>
          <c:smooth val="0"/>
          <c:extLst>
            <c:ext xmlns:c16="http://schemas.microsoft.com/office/drawing/2014/chart" uri="{C3380CC4-5D6E-409C-BE32-E72D297353CC}">
              <c16:uniqueId val="{00000000-A133-4C01-9E7B-B00EAADC145A}"/>
            </c:ext>
          </c:extLst>
        </c:ser>
        <c:dLbls>
          <c:showLegendKey val="0"/>
          <c:showVal val="0"/>
          <c:showCatName val="0"/>
          <c:showSerName val="0"/>
          <c:showPercent val="0"/>
          <c:showBubbleSize val="0"/>
        </c:dLbls>
        <c:smooth val="0"/>
        <c:axId val="471674032"/>
        <c:axId val="471673552"/>
      </c:lineChart>
      <c:catAx>
        <c:axId val="471674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71673552"/>
        <c:crosses val="autoZero"/>
        <c:auto val="1"/>
        <c:lblAlgn val="ctr"/>
        <c:lblOffset val="100"/>
        <c:noMultiLvlLbl val="0"/>
      </c:catAx>
      <c:valAx>
        <c:axId val="471673552"/>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7167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[Petty_Cash_Expenses_2024_2025.xlsx]Pivot_table!PivotTable11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Yearly Expenses</a:t>
            </a:r>
            <a:r>
              <a:rPr lang="en-GB" baseline="0"/>
              <a:t> Category</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Pivot_table!$L$19:$L$20</c:f>
              <c:strCache>
                <c:ptCount val="1"/>
                <c:pt idx="0">
                  <c:v>2024</c:v>
                </c:pt>
              </c:strCache>
            </c:strRef>
          </c:tx>
          <c:spPr>
            <a:solidFill>
              <a:schemeClr val="accent1"/>
            </a:solidFill>
            <a:ln>
              <a:noFill/>
            </a:ln>
            <a:effectLst/>
          </c:spPr>
          <c:invertIfNegative val="0"/>
          <c:cat>
            <c:strRef>
              <c:f>Pivot_table!$K$21:$K$31</c:f>
              <c:strCache>
                <c:ptCount val="11"/>
                <c:pt idx="0">
                  <c:v>Fuel</c:v>
                </c:pt>
                <c:pt idx="1">
                  <c:v>Marketing</c:v>
                </c:pt>
                <c:pt idx="2">
                  <c:v>Miscelleneous</c:v>
                </c:pt>
                <c:pt idx="3">
                  <c:v>Office Supplies</c:v>
                </c:pt>
                <c:pt idx="4">
                  <c:v>Paye</c:v>
                </c:pt>
                <c:pt idx="5">
                  <c:v>Repairs/Maintainance</c:v>
                </c:pt>
                <c:pt idx="6">
                  <c:v>Subscription</c:v>
                </c:pt>
                <c:pt idx="7">
                  <c:v>Transport</c:v>
                </c:pt>
                <c:pt idx="8">
                  <c:v>Utilities</c:v>
                </c:pt>
                <c:pt idx="9">
                  <c:v>Waste Disposal</c:v>
                </c:pt>
                <c:pt idx="10">
                  <c:v>Welfare</c:v>
                </c:pt>
              </c:strCache>
            </c:strRef>
          </c:cat>
          <c:val>
            <c:numRef>
              <c:f>Pivot_table!$L$21:$L$31</c:f>
              <c:numCache>
                <c:formatCode>"₦"#,##0</c:formatCode>
                <c:ptCount val="11"/>
                <c:pt idx="0">
                  <c:v>1890500</c:v>
                </c:pt>
                <c:pt idx="1">
                  <c:v>942100</c:v>
                </c:pt>
                <c:pt idx="2">
                  <c:v>79250</c:v>
                </c:pt>
                <c:pt idx="3">
                  <c:v>129430</c:v>
                </c:pt>
                <c:pt idx="4">
                  <c:v>5600</c:v>
                </c:pt>
                <c:pt idx="5">
                  <c:v>421200</c:v>
                </c:pt>
                <c:pt idx="6">
                  <c:v>648000</c:v>
                </c:pt>
                <c:pt idx="7">
                  <c:v>340543</c:v>
                </c:pt>
                <c:pt idx="8">
                  <c:v>139370</c:v>
                </c:pt>
                <c:pt idx="9">
                  <c:v>98000</c:v>
                </c:pt>
                <c:pt idx="10">
                  <c:v>1004790</c:v>
                </c:pt>
              </c:numCache>
            </c:numRef>
          </c:val>
          <c:extLst>
            <c:ext xmlns:c16="http://schemas.microsoft.com/office/drawing/2014/chart" uri="{C3380CC4-5D6E-409C-BE32-E72D297353CC}">
              <c16:uniqueId val="{00000000-2594-4569-A8B5-88A55B01D75C}"/>
            </c:ext>
          </c:extLst>
        </c:ser>
        <c:ser>
          <c:idx val="1"/>
          <c:order val="1"/>
          <c:tx>
            <c:strRef>
              <c:f>Pivot_table!$M$19:$M$20</c:f>
              <c:strCache>
                <c:ptCount val="1"/>
                <c:pt idx="0">
                  <c:v>2025</c:v>
                </c:pt>
              </c:strCache>
            </c:strRef>
          </c:tx>
          <c:spPr>
            <a:solidFill>
              <a:schemeClr val="accent2"/>
            </a:solidFill>
            <a:ln>
              <a:noFill/>
            </a:ln>
            <a:effectLst/>
          </c:spPr>
          <c:invertIfNegative val="0"/>
          <c:cat>
            <c:strRef>
              <c:f>Pivot_table!$K$21:$K$31</c:f>
              <c:strCache>
                <c:ptCount val="11"/>
                <c:pt idx="0">
                  <c:v>Fuel</c:v>
                </c:pt>
                <c:pt idx="1">
                  <c:v>Marketing</c:v>
                </c:pt>
                <c:pt idx="2">
                  <c:v>Miscelleneous</c:v>
                </c:pt>
                <c:pt idx="3">
                  <c:v>Office Supplies</c:v>
                </c:pt>
                <c:pt idx="4">
                  <c:v>Paye</c:v>
                </c:pt>
                <c:pt idx="5">
                  <c:v>Repairs/Maintainance</c:v>
                </c:pt>
                <c:pt idx="6">
                  <c:v>Subscription</c:v>
                </c:pt>
                <c:pt idx="7">
                  <c:v>Transport</c:v>
                </c:pt>
                <c:pt idx="8">
                  <c:v>Utilities</c:v>
                </c:pt>
                <c:pt idx="9">
                  <c:v>Waste Disposal</c:v>
                </c:pt>
                <c:pt idx="10">
                  <c:v>Welfare</c:v>
                </c:pt>
              </c:strCache>
            </c:strRef>
          </c:cat>
          <c:val>
            <c:numRef>
              <c:f>Pivot_table!$M$21:$M$31</c:f>
              <c:numCache>
                <c:formatCode>"₦"#,##0</c:formatCode>
                <c:ptCount val="11"/>
                <c:pt idx="0">
                  <c:v>1272700</c:v>
                </c:pt>
                <c:pt idx="1">
                  <c:v>917500</c:v>
                </c:pt>
                <c:pt idx="2">
                  <c:v>278000</c:v>
                </c:pt>
                <c:pt idx="3">
                  <c:v>603350</c:v>
                </c:pt>
                <c:pt idx="5">
                  <c:v>849300</c:v>
                </c:pt>
                <c:pt idx="6">
                  <c:v>812000</c:v>
                </c:pt>
                <c:pt idx="7">
                  <c:v>685800</c:v>
                </c:pt>
                <c:pt idx="8">
                  <c:v>186000</c:v>
                </c:pt>
                <c:pt idx="9">
                  <c:v>50000</c:v>
                </c:pt>
                <c:pt idx="10">
                  <c:v>1586500</c:v>
                </c:pt>
              </c:numCache>
            </c:numRef>
          </c:val>
          <c:extLst>
            <c:ext xmlns:c16="http://schemas.microsoft.com/office/drawing/2014/chart" uri="{C3380CC4-5D6E-409C-BE32-E72D297353CC}">
              <c16:uniqueId val="{00000005-FC06-4411-BF8B-4BB644E5EE18}"/>
            </c:ext>
          </c:extLst>
        </c:ser>
        <c:dLbls>
          <c:showLegendKey val="0"/>
          <c:showVal val="0"/>
          <c:showCatName val="0"/>
          <c:showSerName val="0"/>
          <c:showPercent val="0"/>
          <c:showBubbleSize val="0"/>
        </c:dLbls>
        <c:gapWidth val="182"/>
        <c:axId val="1348742256"/>
        <c:axId val="1348744656"/>
      </c:barChart>
      <c:catAx>
        <c:axId val="134874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48744656"/>
        <c:crosses val="autoZero"/>
        <c:auto val="1"/>
        <c:lblAlgn val="ctr"/>
        <c:lblOffset val="100"/>
        <c:noMultiLvlLbl val="0"/>
      </c:catAx>
      <c:valAx>
        <c:axId val="134874465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4874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[Petty_Cash_Expenses_2024_2025.xlsx]Pivot_table!PivotTable5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Pivot_table!$B$20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59-4264-8D89-0B67D3CD77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59-4264-8D89-0B67D3CD77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59-4264-8D89-0B67D3CD77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Pivot_table!$A$21:$A$23</c:f>
              <c:strCache>
                <c:ptCount val="3"/>
                <c:pt idx="0">
                  <c:v>Card</c:v>
                </c:pt>
                <c:pt idx="1">
                  <c:v>Cash</c:v>
                </c:pt>
                <c:pt idx="2">
                  <c:v>Transfer</c:v>
                </c:pt>
              </c:strCache>
            </c:strRef>
          </c:cat>
          <c:val>
            <c:numRef>
              <c:f>Pivot_table!$B$21:$B$23</c:f>
              <c:numCache>
                <c:formatCode>"₦"#,##0</c:formatCode>
                <c:ptCount val="3"/>
                <c:pt idx="0">
                  <c:v>2937533</c:v>
                </c:pt>
                <c:pt idx="1">
                  <c:v>708100</c:v>
                </c:pt>
                <c:pt idx="2">
                  <c:v>9294300</c:v>
                </c:pt>
              </c:numCache>
            </c:numRef>
          </c:val>
          <c:extLst>
            <c:ext xmlns:c16="http://schemas.microsoft.com/office/drawing/2014/chart" uri="{C3380CC4-5D6E-409C-BE32-E72D297353CC}">
              <c16:uniqueId val="{00000000-A975-4130-8BAF-AA04E1B3D241}"/>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[Petty_Cash_Expenses_2024_2025.xlsx]Pivot_table!PivotTable11</c:name>
    <c:fmtId val="2"/>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GB">
                <a:solidFill>
                  <a:srgbClr val="FFFFFF"/>
                </a:solidFill>
              </a:rPr>
              <a:t>Yearly Expenses</a:t>
            </a:r>
            <a:r>
              <a:rPr lang="en-GB" baseline="0">
                <a:solidFill>
                  <a:srgbClr val="FFFFFF"/>
                </a:solidFill>
              </a:rPr>
              <a:t> Category</a:t>
            </a:r>
          </a:p>
          <a:p>
            <a:pPr>
              <a:defRPr>
                <a:solidFill>
                  <a:srgbClr val="FFFFFF"/>
                </a:solidFill>
              </a:defRPr>
            </a:pPr>
            <a:endParaRPr lang="en-GB">
              <a:solidFill>
                <a:srgbClr val="FFFF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Pivot_table!$L$19:$L$20</c:f>
              <c:strCache>
                <c:ptCount val="1"/>
                <c:pt idx="0">
                  <c:v>2024</c:v>
                </c:pt>
              </c:strCache>
            </c:strRef>
          </c:tx>
          <c:spPr>
            <a:solidFill>
              <a:schemeClr val="accent1"/>
            </a:solidFill>
            <a:ln>
              <a:noFill/>
            </a:ln>
            <a:effectLst/>
          </c:spPr>
          <c:invertIfNegative val="0"/>
          <c:cat>
            <c:strRef>
              <c:f>Pivot_table!$K$21:$K$31</c:f>
              <c:strCache>
                <c:ptCount val="11"/>
                <c:pt idx="0">
                  <c:v>Fuel</c:v>
                </c:pt>
                <c:pt idx="1">
                  <c:v>Marketing</c:v>
                </c:pt>
                <c:pt idx="2">
                  <c:v>Miscelleneous</c:v>
                </c:pt>
                <c:pt idx="3">
                  <c:v>Office Supplies</c:v>
                </c:pt>
                <c:pt idx="4">
                  <c:v>Paye</c:v>
                </c:pt>
                <c:pt idx="5">
                  <c:v>Repairs/Maintainance</c:v>
                </c:pt>
                <c:pt idx="6">
                  <c:v>Subscription</c:v>
                </c:pt>
                <c:pt idx="7">
                  <c:v>Transport</c:v>
                </c:pt>
                <c:pt idx="8">
                  <c:v>Utilities</c:v>
                </c:pt>
                <c:pt idx="9">
                  <c:v>Waste Disposal</c:v>
                </c:pt>
                <c:pt idx="10">
                  <c:v>Welfare</c:v>
                </c:pt>
              </c:strCache>
            </c:strRef>
          </c:cat>
          <c:val>
            <c:numRef>
              <c:f>Pivot_table!$L$21:$L$31</c:f>
              <c:numCache>
                <c:formatCode>"₦"#,##0</c:formatCode>
                <c:ptCount val="11"/>
                <c:pt idx="0">
                  <c:v>1890500</c:v>
                </c:pt>
                <c:pt idx="1">
                  <c:v>942100</c:v>
                </c:pt>
                <c:pt idx="2">
                  <c:v>79250</c:v>
                </c:pt>
                <c:pt idx="3">
                  <c:v>129430</c:v>
                </c:pt>
                <c:pt idx="4">
                  <c:v>5600</c:v>
                </c:pt>
                <c:pt idx="5">
                  <c:v>421200</c:v>
                </c:pt>
                <c:pt idx="6">
                  <c:v>648000</c:v>
                </c:pt>
                <c:pt idx="7">
                  <c:v>340543</c:v>
                </c:pt>
                <c:pt idx="8">
                  <c:v>139370</c:v>
                </c:pt>
                <c:pt idx="9">
                  <c:v>98000</c:v>
                </c:pt>
                <c:pt idx="10">
                  <c:v>1004790</c:v>
                </c:pt>
              </c:numCache>
            </c:numRef>
          </c:val>
          <c:extLst>
            <c:ext xmlns:c16="http://schemas.microsoft.com/office/drawing/2014/chart" uri="{C3380CC4-5D6E-409C-BE32-E72D297353CC}">
              <c16:uniqueId val="{00000000-B058-45A6-B3A6-66FAEE831610}"/>
            </c:ext>
          </c:extLst>
        </c:ser>
        <c:ser>
          <c:idx val="1"/>
          <c:order val="1"/>
          <c:tx>
            <c:strRef>
              <c:f>Pivot_table!$M$19:$M$20</c:f>
              <c:strCache>
                <c:ptCount val="1"/>
                <c:pt idx="0">
                  <c:v>2025</c:v>
                </c:pt>
              </c:strCache>
            </c:strRef>
          </c:tx>
          <c:spPr>
            <a:solidFill>
              <a:schemeClr val="accent2"/>
            </a:solidFill>
            <a:ln>
              <a:noFill/>
            </a:ln>
            <a:effectLst/>
          </c:spPr>
          <c:invertIfNegative val="0"/>
          <c:cat>
            <c:strRef>
              <c:f>Pivot_table!$K$21:$K$31</c:f>
              <c:strCache>
                <c:ptCount val="11"/>
                <c:pt idx="0">
                  <c:v>Fuel</c:v>
                </c:pt>
                <c:pt idx="1">
                  <c:v>Marketing</c:v>
                </c:pt>
                <c:pt idx="2">
                  <c:v>Miscelleneous</c:v>
                </c:pt>
                <c:pt idx="3">
                  <c:v>Office Supplies</c:v>
                </c:pt>
                <c:pt idx="4">
                  <c:v>Paye</c:v>
                </c:pt>
                <c:pt idx="5">
                  <c:v>Repairs/Maintainance</c:v>
                </c:pt>
                <c:pt idx="6">
                  <c:v>Subscription</c:v>
                </c:pt>
                <c:pt idx="7">
                  <c:v>Transport</c:v>
                </c:pt>
                <c:pt idx="8">
                  <c:v>Utilities</c:v>
                </c:pt>
                <c:pt idx="9">
                  <c:v>Waste Disposal</c:v>
                </c:pt>
                <c:pt idx="10">
                  <c:v>Welfare</c:v>
                </c:pt>
              </c:strCache>
            </c:strRef>
          </c:cat>
          <c:val>
            <c:numRef>
              <c:f>Pivot_table!$M$21:$M$31</c:f>
              <c:numCache>
                <c:formatCode>"₦"#,##0</c:formatCode>
                <c:ptCount val="11"/>
                <c:pt idx="0">
                  <c:v>1272700</c:v>
                </c:pt>
                <c:pt idx="1">
                  <c:v>917500</c:v>
                </c:pt>
                <c:pt idx="2">
                  <c:v>278000</c:v>
                </c:pt>
                <c:pt idx="3">
                  <c:v>603350</c:v>
                </c:pt>
                <c:pt idx="5">
                  <c:v>849300</c:v>
                </c:pt>
                <c:pt idx="6">
                  <c:v>812000</c:v>
                </c:pt>
                <c:pt idx="7">
                  <c:v>685800</c:v>
                </c:pt>
                <c:pt idx="8">
                  <c:v>186000</c:v>
                </c:pt>
                <c:pt idx="9">
                  <c:v>50000</c:v>
                </c:pt>
                <c:pt idx="10">
                  <c:v>1586500</c:v>
                </c:pt>
              </c:numCache>
            </c:numRef>
          </c:val>
          <c:extLst>
            <c:ext xmlns:c16="http://schemas.microsoft.com/office/drawing/2014/chart" uri="{C3380CC4-5D6E-409C-BE32-E72D297353CC}">
              <c16:uniqueId val="{00000006-C3C3-4481-A2DB-A32F22A20A40}"/>
            </c:ext>
          </c:extLst>
        </c:ser>
        <c:dLbls>
          <c:showLegendKey val="0"/>
          <c:showVal val="0"/>
          <c:showCatName val="0"/>
          <c:showSerName val="0"/>
          <c:showPercent val="0"/>
          <c:showBubbleSize val="0"/>
        </c:dLbls>
        <c:gapWidth val="182"/>
        <c:axId val="1348742256"/>
        <c:axId val="1348744656"/>
      </c:barChart>
      <c:catAx>
        <c:axId val="134874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FFFFFF"/>
                </a:solidFill>
                <a:latin typeface="+mn-lt"/>
                <a:ea typeface="+mn-ea"/>
                <a:cs typeface="+mn-cs"/>
              </a:defRPr>
            </a:pPr>
            <a:endParaRPr lang="en-NG"/>
          </a:p>
        </c:txPr>
        <c:crossAx val="1348744656"/>
        <c:crosses val="autoZero"/>
        <c:auto val="1"/>
        <c:lblAlgn val="ctr"/>
        <c:lblOffset val="100"/>
        <c:noMultiLvlLbl val="0"/>
      </c:catAx>
      <c:valAx>
        <c:axId val="1348744656"/>
        <c:scaling>
          <c:orientation val="minMax"/>
        </c:scaling>
        <c:delete val="0"/>
        <c:axPos val="b"/>
        <c:numFmt formatCode="&quot;₦&quot;#,##0" sourceLinked="1"/>
        <c:majorTickMark val="none"/>
        <c:minorTickMark val="none"/>
        <c:tickLblPos val="nextTo"/>
        <c:spPr>
          <a:noFill/>
          <a:ln>
            <a:noFill/>
          </a:ln>
          <a:effectLst/>
        </c:spPr>
        <c:txPr>
          <a:bodyPr rot="132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1348742256"/>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1200" b="0" i="0" u="none" strike="noStrike" kern="1200" baseline="0">
                <a:solidFill>
                  <a:srgbClr val="FFFFFF"/>
                </a:solidFill>
                <a:latin typeface="+mn-lt"/>
                <a:ea typeface="+mn-ea"/>
                <a:cs typeface="+mn-cs"/>
              </a:defRPr>
            </a:pPr>
            <a:endParaRPr lang="en-NG"/>
          </a:p>
        </c:txPr>
      </c:legendEntry>
      <c:layout>
        <c:manualLayout>
          <c:xMode val="edge"/>
          <c:yMode val="edge"/>
          <c:x val="0.85943163274425627"/>
          <c:y val="0.54460496143328074"/>
          <c:w val="0.11099265476933758"/>
          <c:h val="0.22189981686807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[Petty_Cash_Expenses_2024_2025.xlsx]Pivot_table!PivotTable5</c:name>
    <c:fmtId val="8"/>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Payment</a:t>
            </a:r>
            <a:r>
              <a:rPr lang="en-US" baseline="0">
                <a:solidFill>
                  <a:srgbClr val="FFFFFF"/>
                </a:solidFill>
              </a:rPr>
              <a:t> method</a:t>
            </a:r>
            <a:endParaRPr lang="en-US">
              <a:solidFill>
                <a:srgbClr val="FFFFFF"/>
              </a:solidFill>
            </a:endParaRPr>
          </a:p>
        </c:rich>
      </c:tx>
      <c:layout>
        <c:manualLayout>
          <c:xMode val="edge"/>
          <c:yMode val="edge"/>
          <c:x val="0.44362892186009206"/>
          <c:y val="2.30793379501095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4A26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8463912203800753"/>
          <c:y val="0.17395914684592229"/>
          <c:w val="0.50070267380172107"/>
          <c:h val="0.82604085315407771"/>
        </c:manualLayout>
      </c:layout>
      <c:doughnutChart>
        <c:varyColors val="1"/>
        <c:ser>
          <c:idx val="0"/>
          <c:order val="0"/>
          <c:tx>
            <c:strRef>
              <c:f>Pivot_table!$B$20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2A-481F-8847-5ECE34202F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2A-481F-8847-5ECE34202F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2A-481F-8847-5ECE34202F1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4A261"/>
                    </a:solidFill>
                    <a:latin typeface="+mn-lt"/>
                    <a:ea typeface="+mn-ea"/>
                    <a:cs typeface="+mn-cs"/>
                  </a:defRPr>
                </a:pPr>
                <a:endParaRPr lang="en-NG"/>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Pivot_table!$A$21:$A$23</c:f>
              <c:strCache>
                <c:ptCount val="3"/>
                <c:pt idx="0">
                  <c:v>Card</c:v>
                </c:pt>
                <c:pt idx="1">
                  <c:v>Cash</c:v>
                </c:pt>
                <c:pt idx="2">
                  <c:v>Transfer</c:v>
                </c:pt>
              </c:strCache>
            </c:strRef>
          </c:cat>
          <c:val>
            <c:numRef>
              <c:f>Pivot_table!$B$21:$B$23</c:f>
              <c:numCache>
                <c:formatCode>"₦"#,##0</c:formatCode>
                <c:ptCount val="3"/>
                <c:pt idx="0">
                  <c:v>2937533</c:v>
                </c:pt>
                <c:pt idx="1">
                  <c:v>708100</c:v>
                </c:pt>
                <c:pt idx="2">
                  <c:v>9294300</c:v>
                </c:pt>
              </c:numCache>
            </c:numRef>
          </c:val>
          <c:extLst>
            <c:ext xmlns:c16="http://schemas.microsoft.com/office/drawing/2014/chart" uri="{C3380CC4-5D6E-409C-BE32-E72D297353CC}">
              <c16:uniqueId val="{00000006-C62A-481F-8847-5ECE34202F16}"/>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NG"/>
          </a:p>
        </c:txPr>
      </c:legendEntry>
      <c:legendEntry>
        <c:idx val="1"/>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NG"/>
          </a:p>
        </c:txPr>
      </c:legendEntry>
      <c:legendEntry>
        <c:idx val="2"/>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NG"/>
          </a:p>
        </c:txPr>
      </c:legendEntry>
      <c:layout>
        <c:manualLayout>
          <c:xMode val="edge"/>
          <c:yMode val="edge"/>
          <c:x val="0.70340735721825065"/>
          <c:y val="0.44272798022444226"/>
          <c:w val="0.18042184737472963"/>
          <c:h val="0.38278495022717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[Petty_Cash_Expenses_2024_2025.xlsx]Pivot_table!PivotTable1</c:name>
    <c:fmtId val="2"/>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Monthly</a:t>
            </a:r>
            <a:r>
              <a:rPr lang="en-US" baseline="0">
                <a:solidFill>
                  <a:srgbClr val="FFFFFF"/>
                </a:solidFill>
              </a:rPr>
              <a:t> Expense Trend</a:t>
            </a:r>
          </a:p>
          <a:p>
            <a:pPr>
              <a:defRPr>
                <a:solidFill>
                  <a:srgbClr val="FFFFFF"/>
                </a:solidFill>
              </a:defRPr>
            </a:pPr>
            <a:endParaRPr lang="en-US">
              <a:solidFill>
                <a:srgbClr val="FFFF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c:f>
              <c:strCache>
                <c:ptCount val="1"/>
                <c:pt idx="0">
                  <c:v>Total</c:v>
                </c:pt>
              </c:strCache>
            </c:strRef>
          </c:tx>
          <c:spPr>
            <a:ln w="28575" cap="rnd">
              <a:solidFill>
                <a:schemeClr val="accent1"/>
              </a:solidFill>
              <a:round/>
            </a:ln>
            <a:effectLst/>
          </c:spPr>
          <c:marker>
            <c:symbol val="none"/>
          </c:marker>
          <c:cat>
            <c:strRef>
              <c:f>Pivot_table!$A$4:$A$15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Pivot_table!$B$4:$B$15</c:f>
              <c:numCache>
                <c:formatCode>"₦"#,##0</c:formatCode>
                <c:ptCount val="12"/>
                <c:pt idx="0">
                  <c:v>690390</c:v>
                </c:pt>
                <c:pt idx="1">
                  <c:v>746350</c:v>
                </c:pt>
                <c:pt idx="2">
                  <c:v>980140</c:v>
                </c:pt>
                <c:pt idx="3">
                  <c:v>1049653</c:v>
                </c:pt>
                <c:pt idx="4">
                  <c:v>1410930</c:v>
                </c:pt>
                <c:pt idx="5">
                  <c:v>1297990</c:v>
                </c:pt>
                <c:pt idx="6">
                  <c:v>1586300</c:v>
                </c:pt>
                <c:pt idx="7">
                  <c:v>966230</c:v>
                </c:pt>
                <c:pt idx="8">
                  <c:v>1399410</c:v>
                </c:pt>
                <c:pt idx="9">
                  <c:v>1062010</c:v>
                </c:pt>
                <c:pt idx="10">
                  <c:v>862020</c:v>
                </c:pt>
                <c:pt idx="11">
                  <c:v>888510</c:v>
                </c:pt>
              </c:numCache>
            </c:numRef>
          </c:val>
          <c:smooth val="0"/>
          <c:extLst>
            <c:ext xmlns:c16="http://schemas.microsoft.com/office/drawing/2014/chart" uri="{C3380CC4-5D6E-409C-BE32-E72D297353CC}">
              <c16:uniqueId val="{00000000-D471-4FED-9C0E-C255D5B92F7A}"/>
            </c:ext>
          </c:extLst>
        </c:ser>
        <c:dLbls>
          <c:showLegendKey val="0"/>
          <c:showVal val="0"/>
          <c:showCatName val="0"/>
          <c:showSerName val="0"/>
          <c:showPercent val="0"/>
          <c:showBubbleSize val="0"/>
        </c:dLbls>
        <c:smooth val="0"/>
        <c:axId val="471674032"/>
        <c:axId val="471673552"/>
      </c:lineChart>
      <c:catAx>
        <c:axId val="471674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100000" spcFirstLastPara="1" vertOverflow="ellipsis" wrap="square" anchor="ctr" anchorCtr="1"/>
          <a:lstStyle/>
          <a:p>
            <a:pPr>
              <a:defRPr sz="1200" b="0" i="0" u="none" strike="noStrike" kern="1200" baseline="0">
                <a:solidFill>
                  <a:srgbClr val="FFFFFF"/>
                </a:solidFill>
                <a:latin typeface="+mn-lt"/>
                <a:ea typeface="+mn-ea"/>
                <a:cs typeface="+mn-cs"/>
              </a:defRPr>
            </a:pPr>
            <a:endParaRPr lang="en-NG"/>
          </a:p>
        </c:txPr>
        <c:crossAx val="471673552"/>
        <c:crosses val="autoZero"/>
        <c:auto val="1"/>
        <c:lblAlgn val="ctr"/>
        <c:lblOffset val="100"/>
        <c:noMultiLvlLbl val="0"/>
      </c:catAx>
      <c:valAx>
        <c:axId val="471673552"/>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FFFFF"/>
                </a:solidFill>
                <a:latin typeface="+mn-lt"/>
                <a:ea typeface="+mn-ea"/>
                <a:cs typeface="+mn-cs"/>
              </a:defRPr>
            </a:pPr>
            <a:endParaRPr lang="en-NG"/>
          </a:p>
        </c:txPr>
        <c:crossAx val="47167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6.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4.xml"/><Relationship Id="rId5" Type="http://schemas.openxmlformats.org/officeDocument/2006/relationships/image" Target="../media/image6.png"/><Relationship Id="rId10" Type="http://schemas.openxmlformats.org/officeDocument/2006/relationships/image" Target="../media/image11.svg"/><Relationship Id="rId4" Type="http://schemas.openxmlformats.org/officeDocument/2006/relationships/image" Target="../media/image5.sv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219075</xdr:colOff>
      <xdr:row>39</xdr:row>
      <xdr:rowOff>138112</xdr:rowOff>
    </xdr:from>
    <xdr:to>
      <xdr:col>6</xdr:col>
      <xdr:colOff>695325</xdr:colOff>
      <xdr:row>54</xdr:row>
      <xdr:rowOff>23812</xdr:rowOff>
    </xdr:to>
    <xdr:graphicFrame macro="">
      <xdr:nvGraphicFramePr>
        <xdr:cNvPr id="2" name="Chart 1">
          <a:extLst>
            <a:ext uri="{FF2B5EF4-FFF2-40B4-BE49-F238E27FC236}">
              <a16:creationId xmlns:a16="http://schemas.microsoft.com/office/drawing/2014/main" id="{A7F81AF2-E253-0392-46D3-43418F6D6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471487</xdr:colOff>
      <xdr:row>37</xdr:row>
      <xdr:rowOff>166687</xdr:rowOff>
    </xdr:from>
    <xdr:to>
      <xdr:col>12</xdr:col>
      <xdr:colOff>271462</xdr:colOff>
      <xdr:row>52</xdr:row>
      <xdr:rowOff>52387</xdr:rowOff>
    </xdr:to>
    <xdr:graphicFrame macro="">
      <xdr:nvGraphicFramePr>
        <xdr:cNvPr id="3" name="Chart 2">
          <a:extLst>
            <a:ext uri="{FF2B5EF4-FFF2-40B4-BE49-F238E27FC236}">
              <a16:creationId xmlns:a16="http://schemas.microsoft.com/office/drawing/2014/main" id="{1E2DBB4C-4C27-1E6A-64E5-010FC26CE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57</xdr:row>
      <xdr:rowOff>42862</xdr:rowOff>
    </xdr:from>
    <xdr:to>
      <xdr:col>6</xdr:col>
      <xdr:colOff>495300</xdr:colOff>
      <xdr:row>71</xdr:row>
      <xdr:rowOff>119062</xdr:rowOff>
    </xdr:to>
    <xdr:graphicFrame macro="">
      <xdr:nvGraphicFramePr>
        <xdr:cNvPr id="4" name="Chart 3">
          <a:extLst>
            <a:ext uri="{FF2B5EF4-FFF2-40B4-BE49-F238E27FC236}">
              <a16:creationId xmlns:a16="http://schemas.microsoft.com/office/drawing/2014/main" id="{4B197B31-872E-4A53-9D29-505CB1642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250158</xdr:colOff>
      <xdr:row>7</xdr:row>
      <xdr:rowOff>190499</xdr:rowOff>
    </xdr:from>
    <xdr:to>
      <xdr:col>25</xdr:col>
      <xdr:colOff>71342</xdr:colOff>
      <xdr:row>15</xdr:row>
      <xdr:rowOff>40105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D9657C1C-7800-CB90-7E18-C3C4FE8E233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776158" y="1523999"/>
              <a:ext cx="1656000" cy="137360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405566</xdr:colOff>
      <xdr:row>7</xdr:row>
      <xdr:rowOff>175461</xdr:rowOff>
    </xdr:from>
    <xdr:to>
      <xdr:col>22</xdr:col>
      <xdr:colOff>226750</xdr:colOff>
      <xdr:row>15</xdr:row>
      <xdr:rowOff>30079</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709C95E6-100D-6EC8-DC0D-F2DC3305031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096750" y="1508961"/>
              <a:ext cx="1656000" cy="137861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570998</xdr:colOff>
      <xdr:row>7</xdr:row>
      <xdr:rowOff>170448</xdr:rowOff>
    </xdr:from>
    <xdr:to>
      <xdr:col>19</xdr:col>
      <xdr:colOff>392182</xdr:colOff>
      <xdr:row>15</xdr:row>
      <xdr:rowOff>30080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649985CF-905F-238A-9E66-3BD0C756F6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427366" y="1503948"/>
              <a:ext cx="1656000" cy="138363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195010</xdr:colOff>
      <xdr:row>1</xdr:row>
      <xdr:rowOff>834</xdr:rowOff>
    </xdr:from>
    <xdr:to>
      <xdr:col>20</xdr:col>
      <xdr:colOff>299786</xdr:colOff>
      <xdr:row>49</xdr:row>
      <xdr:rowOff>0</xdr:rowOff>
    </xdr:to>
    <xdr:sp macro="" textlink="">
      <xdr:nvSpPr>
        <xdr:cNvPr id="2" name="Rectangle: Rounded Corners 1">
          <a:extLst>
            <a:ext uri="{FF2B5EF4-FFF2-40B4-BE49-F238E27FC236}">
              <a16:creationId xmlns:a16="http://schemas.microsoft.com/office/drawing/2014/main" id="{21CF5D01-E657-FCED-216A-CE9CEB483084}"/>
            </a:ext>
          </a:extLst>
        </xdr:cNvPr>
        <xdr:cNvSpPr/>
      </xdr:nvSpPr>
      <xdr:spPr>
        <a:xfrm>
          <a:off x="195010" y="191334"/>
          <a:ext cx="12249151" cy="9143166"/>
        </a:xfrm>
        <a:prstGeom prst="roundRect">
          <a:avLst>
            <a:gd name="adj" fmla="val 66"/>
          </a:avLst>
        </a:prstGeom>
        <a:solidFill>
          <a:srgbClr val="2B2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algn="l"/>
          <a:endParaRPr lang="en-GB" sz="1100"/>
        </a:p>
        <a:p>
          <a:pPr algn="l"/>
          <a:endParaRPr lang="en-GB" sz="1100"/>
        </a:p>
        <a:p>
          <a:pPr algn="l"/>
          <a:endParaRPr lang="en-GB" sz="1100"/>
        </a:p>
        <a:p>
          <a:pPr algn="l"/>
          <a:r>
            <a:rPr lang="en-GB" sz="1100"/>
            <a:t> </a:t>
          </a:r>
          <a:endParaRPr lang="en-NG" sz="1100"/>
        </a:p>
      </xdr:txBody>
    </xdr:sp>
    <xdr:clientData/>
  </xdr:twoCellAnchor>
  <xdr:twoCellAnchor>
    <xdr:from>
      <xdr:col>1</xdr:col>
      <xdr:colOff>333375</xdr:colOff>
      <xdr:row>6</xdr:row>
      <xdr:rowOff>9525</xdr:rowOff>
    </xdr:from>
    <xdr:to>
      <xdr:col>3</xdr:col>
      <xdr:colOff>28575</xdr:colOff>
      <xdr:row>7</xdr:row>
      <xdr:rowOff>120777</xdr:rowOff>
    </xdr:to>
    <xdr:sp macro="" textlink="">
      <xdr:nvSpPr>
        <xdr:cNvPr id="4" name="Flowchart: Terminator 3">
          <a:extLst>
            <a:ext uri="{FF2B5EF4-FFF2-40B4-BE49-F238E27FC236}">
              <a16:creationId xmlns:a16="http://schemas.microsoft.com/office/drawing/2014/main" id="{8EB506E9-080C-5EA1-F050-BB3AF5799B07}"/>
            </a:ext>
          </a:extLst>
        </xdr:cNvPr>
        <xdr:cNvSpPr/>
      </xdr:nvSpPr>
      <xdr:spPr>
        <a:xfrm>
          <a:off x="942975" y="1152525"/>
          <a:ext cx="914400" cy="301752"/>
        </a:xfrm>
        <a:prstGeom prst="flowChartTerminator">
          <a:avLst/>
        </a:prstGeom>
        <a:solidFill>
          <a:srgbClr val="F4A26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a:t>ALL YEAR</a:t>
          </a:r>
          <a:endParaRPr lang="en-NG" sz="1000"/>
        </a:p>
      </xdr:txBody>
    </xdr:sp>
    <xdr:clientData/>
  </xdr:twoCellAnchor>
  <xdr:twoCellAnchor>
    <xdr:from>
      <xdr:col>3</xdr:col>
      <xdr:colOff>76200</xdr:colOff>
      <xdr:row>6</xdr:row>
      <xdr:rowOff>19050</xdr:rowOff>
    </xdr:from>
    <xdr:to>
      <xdr:col>4</xdr:col>
      <xdr:colOff>47625</xdr:colOff>
      <xdr:row>7</xdr:row>
      <xdr:rowOff>130302</xdr:rowOff>
    </xdr:to>
    <xdr:sp macro="" textlink="">
      <xdr:nvSpPr>
        <xdr:cNvPr id="5" name="Flowchart: Terminator 4">
          <a:extLst>
            <a:ext uri="{FF2B5EF4-FFF2-40B4-BE49-F238E27FC236}">
              <a16:creationId xmlns:a16="http://schemas.microsoft.com/office/drawing/2014/main" id="{B94BB4B6-CB91-A01E-84E0-256DD6235262}"/>
            </a:ext>
          </a:extLst>
        </xdr:cNvPr>
        <xdr:cNvSpPr/>
      </xdr:nvSpPr>
      <xdr:spPr>
        <a:xfrm>
          <a:off x="1905000" y="1162050"/>
          <a:ext cx="581025" cy="301752"/>
        </a:xfrm>
        <a:prstGeom prst="flowChartTerminator">
          <a:avLst/>
        </a:prstGeom>
        <a:solidFill>
          <a:srgbClr val="1E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2024</a:t>
          </a:r>
          <a:endParaRPr lang="en-NG" sz="1100"/>
        </a:p>
      </xdr:txBody>
    </xdr:sp>
    <xdr:clientData/>
  </xdr:twoCellAnchor>
  <xdr:twoCellAnchor>
    <xdr:from>
      <xdr:col>4</xdr:col>
      <xdr:colOff>114300</xdr:colOff>
      <xdr:row>6</xdr:row>
      <xdr:rowOff>9525</xdr:rowOff>
    </xdr:from>
    <xdr:to>
      <xdr:col>5</xdr:col>
      <xdr:colOff>95250</xdr:colOff>
      <xdr:row>7</xdr:row>
      <xdr:rowOff>120777</xdr:rowOff>
    </xdr:to>
    <xdr:sp macro="" textlink="">
      <xdr:nvSpPr>
        <xdr:cNvPr id="6" name="Flowchart: Terminator 5">
          <a:extLst>
            <a:ext uri="{FF2B5EF4-FFF2-40B4-BE49-F238E27FC236}">
              <a16:creationId xmlns:a16="http://schemas.microsoft.com/office/drawing/2014/main" id="{B63D6E2F-4385-3895-8FAC-82794E6B3FE2}"/>
            </a:ext>
          </a:extLst>
        </xdr:cNvPr>
        <xdr:cNvSpPr/>
      </xdr:nvSpPr>
      <xdr:spPr>
        <a:xfrm>
          <a:off x="2552700" y="1152525"/>
          <a:ext cx="590550" cy="301752"/>
        </a:xfrm>
        <a:prstGeom prst="flowChartTerminator">
          <a:avLst/>
        </a:prstGeom>
        <a:solidFill>
          <a:srgbClr val="1E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2025</a:t>
          </a:r>
          <a:endParaRPr lang="en-NG" sz="1100"/>
        </a:p>
      </xdr:txBody>
    </xdr:sp>
    <xdr:clientData/>
  </xdr:twoCellAnchor>
  <xdr:oneCellAnchor>
    <xdr:from>
      <xdr:col>2</xdr:col>
      <xdr:colOff>28575</xdr:colOff>
      <xdr:row>1</xdr:row>
      <xdr:rowOff>28575</xdr:rowOff>
    </xdr:from>
    <xdr:ext cx="3849515" cy="374077"/>
    <xdr:sp macro="" textlink="">
      <xdr:nvSpPr>
        <xdr:cNvPr id="7" name="TextBox 6">
          <a:extLst>
            <a:ext uri="{FF2B5EF4-FFF2-40B4-BE49-F238E27FC236}">
              <a16:creationId xmlns:a16="http://schemas.microsoft.com/office/drawing/2014/main" id="{EED17838-DFCF-5EF2-A1B2-A42F33A801DB}"/>
            </a:ext>
          </a:extLst>
        </xdr:cNvPr>
        <xdr:cNvSpPr txBox="1"/>
      </xdr:nvSpPr>
      <xdr:spPr>
        <a:xfrm>
          <a:off x="1247775" y="219075"/>
          <a:ext cx="3849515" cy="374077"/>
        </a:xfrm>
        <a:prstGeom prst="rect">
          <a:avLst/>
        </a:prstGeom>
        <a:solidFill>
          <a:srgbClr val="1E1E1E"/>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a:solidFill>
                <a:srgbClr val="FFFFFF"/>
              </a:solidFill>
            </a:rPr>
            <a:t>Petty Cash Expense</a:t>
          </a:r>
          <a:r>
            <a:rPr lang="en-GB" sz="1800" baseline="0">
              <a:solidFill>
                <a:srgbClr val="FFFFFF"/>
              </a:solidFill>
            </a:rPr>
            <a:t> Analysis Dashboard</a:t>
          </a:r>
          <a:endParaRPr lang="en-NG" sz="1800">
            <a:solidFill>
              <a:srgbClr val="FFFFFF"/>
            </a:solidFill>
          </a:endParaRPr>
        </a:p>
      </xdr:txBody>
    </xdr:sp>
    <xdr:clientData/>
  </xdr:oneCellAnchor>
  <xdr:oneCellAnchor>
    <xdr:from>
      <xdr:col>0</xdr:col>
      <xdr:colOff>276225</xdr:colOff>
      <xdr:row>6</xdr:row>
      <xdr:rowOff>28575</xdr:rowOff>
    </xdr:from>
    <xdr:ext cx="622493" cy="264560"/>
    <xdr:sp macro="" textlink="">
      <xdr:nvSpPr>
        <xdr:cNvPr id="8" name="TextBox 7">
          <a:extLst>
            <a:ext uri="{FF2B5EF4-FFF2-40B4-BE49-F238E27FC236}">
              <a16:creationId xmlns:a16="http://schemas.microsoft.com/office/drawing/2014/main" id="{F6A72E4A-673B-5E26-C232-B8B5C5ABAA25}"/>
            </a:ext>
          </a:extLst>
        </xdr:cNvPr>
        <xdr:cNvSpPr txBox="1"/>
      </xdr:nvSpPr>
      <xdr:spPr>
        <a:xfrm>
          <a:off x="276225" y="1171575"/>
          <a:ext cx="62249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rgbClr val="FFFFFF"/>
              </a:solidFill>
            </a:rPr>
            <a:t>YEAR</a:t>
          </a:r>
          <a:endParaRPr lang="en-NG" sz="1100">
            <a:solidFill>
              <a:srgbClr val="FFFFFF"/>
            </a:solidFill>
          </a:endParaRPr>
        </a:p>
      </xdr:txBody>
    </xdr:sp>
    <xdr:clientData/>
  </xdr:oneCellAnchor>
  <xdr:oneCellAnchor>
    <xdr:from>
      <xdr:col>0</xdr:col>
      <xdr:colOff>238903</xdr:colOff>
      <xdr:row>2</xdr:row>
      <xdr:rowOff>193999</xdr:rowOff>
    </xdr:from>
    <xdr:ext cx="3194144" cy="311496"/>
    <xdr:sp macro="" textlink="">
      <xdr:nvSpPr>
        <xdr:cNvPr id="9" name="TextBox 8">
          <a:extLst>
            <a:ext uri="{FF2B5EF4-FFF2-40B4-BE49-F238E27FC236}">
              <a16:creationId xmlns:a16="http://schemas.microsoft.com/office/drawing/2014/main" id="{BC9452B2-D930-A284-D1AE-CA48B798C72D}"/>
            </a:ext>
          </a:extLst>
        </xdr:cNvPr>
        <xdr:cNvSpPr txBox="1"/>
      </xdr:nvSpPr>
      <xdr:spPr>
        <a:xfrm>
          <a:off x="238903" y="582775"/>
          <a:ext cx="3194144" cy="311496"/>
        </a:xfrm>
        <a:prstGeom prst="rect">
          <a:avLst/>
        </a:prstGeom>
        <a:solidFill>
          <a:srgbClr val="2B2B2B"/>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a:solidFill>
                <a:srgbClr val="FFFFFF"/>
              </a:solidFill>
            </a:rPr>
            <a:t>2024-2025</a:t>
          </a:r>
          <a:r>
            <a:rPr lang="en-GB" sz="1400" baseline="0">
              <a:solidFill>
                <a:srgbClr val="FFFFFF"/>
              </a:solidFill>
            </a:rPr>
            <a:t> Operational Expense Overview</a:t>
          </a:r>
          <a:endParaRPr lang="en-NG" sz="1400">
            <a:solidFill>
              <a:srgbClr val="FFFFFF"/>
            </a:solidFill>
          </a:endParaRPr>
        </a:p>
      </xdr:txBody>
    </xdr:sp>
    <xdr:clientData/>
  </xdr:oneCellAnchor>
  <xdr:twoCellAnchor>
    <xdr:from>
      <xdr:col>0</xdr:col>
      <xdr:colOff>219075</xdr:colOff>
      <xdr:row>8</xdr:row>
      <xdr:rowOff>28575</xdr:rowOff>
    </xdr:from>
    <xdr:to>
      <xdr:col>20</xdr:col>
      <xdr:colOff>272142</xdr:colOff>
      <xdr:row>8</xdr:row>
      <xdr:rowOff>58316</xdr:rowOff>
    </xdr:to>
    <xdr:cxnSp macro="">
      <xdr:nvCxnSpPr>
        <xdr:cNvPr id="11" name="Straight Connector 10">
          <a:extLst>
            <a:ext uri="{FF2B5EF4-FFF2-40B4-BE49-F238E27FC236}">
              <a16:creationId xmlns:a16="http://schemas.microsoft.com/office/drawing/2014/main" id="{8A95123B-5376-34FA-2973-0D6F2362FDF4}"/>
            </a:ext>
          </a:extLst>
        </xdr:cNvPr>
        <xdr:cNvCxnSpPr/>
      </xdr:nvCxnSpPr>
      <xdr:spPr>
        <a:xfrm>
          <a:off x="219075" y="1583677"/>
          <a:ext cx="12299496" cy="2974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291178</xdr:colOff>
      <xdr:row>9</xdr:row>
      <xdr:rowOff>59531</xdr:rowOff>
    </xdr:from>
    <xdr:to>
      <xdr:col>2</xdr:col>
      <xdr:colOff>535781</xdr:colOff>
      <xdr:row>14</xdr:row>
      <xdr:rowOff>72684</xdr:rowOff>
    </xdr:to>
    <xdr:sp macro="" textlink="">
      <xdr:nvSpPr>
        <xdr:cNvPr id="18" name="Rectangle 17">
          <a:extLst>
            <a:ext uri="{FF2B5EF4-FFF2-40B4-BE49-F238E27FC236}">
              <a16:creationId xmlns:a16="http://schemas.microsoft.com/office/drawing/2014/main" id="{7709F38B-040B-97CD-8020-31C6BA1532F2}"/>
            </a:ext>
          </a:extLst>
        </xdr:cNvPr>
        <xdr:cNvSpPr/>
      </xdr:nvSpPr>
      <xdr:spPr>
        <a:xfrm>
          <a:off x="291178" y="1774031"/>
          <a:ext cx="1459041" cy="965653"/>
        </a:xfrm>
        <a:prstGeom prst="rect">
          <a:avLst/>
        </a:prstGeom>
        <a:solidFill>
          <a:srgbClr val="1B365D"/>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aseline="0"/>
        </a:p>
        <a:p>
          <a:pPr algn="l"/>
          <a:endParaRPr lang="en-GB" sz="1100" baseline="0"/>
        </a:p>
        <a:p>
          <a:pPr algn="l"/>
          <a:r>
            <a:rPr lang="en-GB" sz="1000" baseline="0"/>
            <a:t>TOTAL EXPENSES</a:t>
          </a:r>
        </a:p>
        <a:p>
          <a:pPr algn="l"/>
          <a:endParaRPr lang="en-GB" sz="1100" baseline="0"/>
        </a:p>
        <a:p>
          <a:pPr algn="l"/>
          <a:endParaRPr lang="en-NG" sz="1100">
            <a:solidFill>
              <a:srgbClr val="F4A261"/>
            </a:solidFill>
          </a:endParaRPr>
        </a:p>
      </xdr:txBody>
    </xdr:sp>
    <xdr:clientData/>
  </xdr:twoCellAnchor>
  <xdr:twoCellAnchor>
    <xdr:from>
      <xdr:col>3</xdr:col>
      <xdr:colOff>53532</xdr:colOff>
      <xdr:row>9</xdr:row>
      <xdr:rowOff>75368</xdr:rowOff>
    </xdr:from>
    <xdr:to>
      <xdr:col>5</xdr:col>
      <xdr:colOff>418545</xdr:colOff>
      <xdr:row>14</xdr:row>
      <xdr:rowOff>65621</xdr:rowOff>
    </xdr:to>
    <xdr:sp macro="" textlink="">
      <xdr:nvSpPr>
        <xdr:cNvPr id="20" name="Rectangle 19">
          <a:extLst>
            <a:ext uri="{FF2B5EF4-FFF2-40B4-BE49-F238E27FC236}">
              <a16:creationId xmlns:a16="http://schemas.microsoft.com/office/drawing/2014/main" id="{F8C16364-8AA6-43F3-A1B5-E9BD8BD9199F}"/>
            </a:ext>
          </a:extLst>
        </xdr:cNvPr>
        <xdr:cNvSpPr/>
      </xdr:nvSpPr>
      <xdr:spPr>
        <a:xfrm>
          <a:off x="1875188" y="1789868"/>
          <a:ext cx="1579451" cy="942753"/>
        </a:xfrm>
        <a:prstGeom prst="rect">
          <a:avLst/>
        </a:prstGeom>
        <a:solidFill>
          <a:srgbClr val="1B365D"/>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i="0" u="none" strike="noStrike">
            <a:solidFill>
              <a:schemeClr val="lt1"/>
            </a:solidFill>
            <a:effectLst/>
            <a:latin typeface="+mn-lt"/>
            <a:ea typeface="+mn-ea"/>
            <a:cs typeface="+mn-cs"/>
          </a:endParaRPr>
        </a:p>
        <a:p>
          <a:pPr algn="l"/>
          <a:endParaRPr lang="en-GB" sz="1000" b="0" i="0" u="none" strike="noStrike" baseline="0">
            <a:solidFill>
              <a:schemeClr val="lt1"/>
            </a:solidFill>
            <a:effectLst/>
            <a:latin typeface="+mn-lt"/>
            <a:ea typeface="+mn-ea"/>
            <a:cs typeface="+mn-cs"/>
          </a:endParaRPr>
        </a:p>
        <a:p>
          <a:pPr algn="l"/>
          <a:r>
            <a:rPr lang="en-GB" sz="1000" b="0" i="0" u="none" strike="noStrike" baseline="0">
              <a:solidFill>
                <a:schemeClr val="lt1"/>
              </a:solidFill>
              <a:effectLst/>
              <a:latin typeface="+mn-lt"/>
              <a:ea typeface="+mn-ea"/>
              <a:cs typeface="+mn-cs"/>
            </a:rPr>
            <a:t>TOP EXPENSES CATEGORY</a:t>
          </a:r>
        </a:p>
        <a:p>
          <a:pPr algn="ctr"/>
          <a:r>
            <a:rPr lang="en-GB" sz="1000" b="0" i="0" u="none" strike="noStrike" baseline="0">
              <a:solidFill>
                <a:schemeClr val="lt1"/>
              </a:solidFill>
              <a:effectLst/>
              <a:latin typeface="+mn-lt"/>
              <a:ea typeface="+mn-ea"/>
              <a:cs typeface="+mn-cs"/>
            </a:rPr>
            <a:t>Fuel</a:t>
          </a:r>
          <a:endParaRPr lang="en-GB" sz="1000" b="0" i="0" u="none" strike="noStrike">
            <a:solidFill>
              <a:schemeClr val="lt1"/>
            </a:solidFill>
            <a:effectLst/>
            <a:latin typeface="+mn-lt"/>
            <a:ea typeface="+mn-ea"/>
            <a:cs typeface="+mn-cs"/>
          </a:endParaRPr>
        </a:p>
      </xdr:txBody>
    </xdr:sp>
    <xdr:clientData/>
  </xdr:twoCellAnchor>
  <xdr:twoCellAnchor>
    <xdr:from>
      <xdr:col>6</xdr:col>
      <xdr:colOff>34971</xdr:colOff>
      <xdr:row>9</xdr:row>
      <xdr:rowOff>87276</xdr:rowOff>
    </xdr:from>
    <xdr:to>
      <xdr:col>8</xdr:col>
      <xdr:colOff>297397</xdr:colOff>
      <xdr:row>14</xdr:row>
      <xdr:rowOff>66454</xdr:rowOff>
    </xdr:to>
    <xdr:sp macro="" textlink="">
      <xdr:nvSpPr>
        <xdr:cNvPr id="21" name="Rectangle 20">
          <a:extLst>
            <a:ext uri="{FF2B5EF4-FFF2-40B4-BE49-F238E27FC236}">
              <a16:creationId xmlns:a16="http://schemas.microsoft.com/office/drawing/2014/main" id="{2645FEEA-FF31-490F-8D48-EA140773D812}"/>
            </a:ext>
          </a:extLst>
        </xdr:cNvPr>
        <xdr:cNvSpPr/>
      </xdr:nvSpPr>
      <xdr:spPr>
        <a:xfrm>
          <a:off x="3689913" y="1781840"/>
          <a:ext cx="1480740" cy="920602"/>
        </a:xfrm>
        <a:prstGeom prst="rect">
          <a:avLst/>
        </a:prstGeom>
        <a:solidFill>
          <a:srgbClr val="1B365D"/>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000"/>
        </a:p>
        <a:p>
          <a:pPr algn="l"/>
          <a:endParaRPr lang="en-GB" sz="1000"/>
        </a:p>
        <a:p>
          <a:pPr algn="l"/>
          <a:r>
            <a:rPr lang="en-GB" sz="1000"/>
            <a:t> PEAK</a:t>
          </a:r>
          <a:r>
            <a:rPr lang="en-GB" sz="1000" baseline="0"/>
            <a:t> SPENDING MONTH</a:t>
          </a:r>
        </a:p>
        <a:p>
          <a:pPr algn="l"/>
          <a:r>
            <a:rPr lang="en-GB" sz="1000" baseline="0"/>
            <a:t>                  July</a:t>
          </a:r>
        </a:p>
        <a:p>
          <a:pPr algn="l"/>
          <a:r>
            <a:rPr lang="en-GB" sz="1000" baseline="0"/>
            <a:t>        </a:t>
          </a:r>
          <a:endParaRPr lang="en-NG" sz="1000"/>
        </a:p>
      </xdr:txBody>
    </xdr:sp>
    <xdr:clientData/>
  </xdr:twoCellAnchor>
  <xdr:twoCellAnchor>
    <xdr:from>
      <xdr:col>12</xdr:col>
      <xdr:colOff>239279</xdr:colOff>
      <xdr:row>9</xdr:row>
      <xdr:rowOff>87276</xdr:rowOff>
    </xdr:from>
    <xdr:to>
      <xdr:col>14</xdr:col>
      <xdr:colOff>401207</xdr:colOff>
      <xdr:row>14</xdr:row>
      <xdr:rowOff>44303</xdr:rowOff>
    </xdr:to>
    <xdr:sp macro="" textlink="">
      <xdr:nvSpPr>
        <xdr:cNvPr id="22" name="Rectangle 21">
          <a:extLst>
            <a:ext uri="{FF2B5EF4-FFF2-40B4-BE49-F238E27FC236}">
              <a16:creationId xmlns:a16="http://schemas.microsoft.com/office/drawing/2014/main" id="{B83798EA-8AF9-4D1B-BAB0-167B7A870966}"/>
            </a:ext>
          </a:extLst>
        </xdr:cNvPr>
        <xdr:cNvSpPr/>
      </xdr:nvSpPr>
      <xdr:spPr>
        <a:xfrm>
          <a:off x="7549163" y="1781840"/>
          <a:ext cx="1380242" cy="898451"/>
        </a:xfrm>
        <a:prstGeom prst="rect">
          <a:avLst/>
        </a:prstGeom>
        <a:solidFill>
          <a:srgbClr val="1B365D"/>
        </a:solidFill>
        <a:ln>
          <a:noFill/>
        </a:ln>
        <a:effectLst>
          <a:glow rad="63500">
            <a:schemeClr val="accent1">
              <a:satMod val="175000"/>
              <a:alpha val="40000"/>
            </a:schemeClr>
          </a:glow>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algn="l"/>
          <a:r>
            <a:rPr lang="en-GB" sz="1100"/>
            <a:t>   </a:t>
          </a:r>
          <a:r>
            <a:rPr lang="en-GB" sz="1100" baseline="0"/>
            <a:t>       </a:t>
          </a:r>
          <a:r>
            <a:rPr lang="en-GB" sz="1000"/>
            <a:t>MOST USED </a:t>
          </a:r>
        </a:p>
        <a:p>
          <a:pPr algn="l"/>
          <a:r>
            <a:rPr lang="en-GB" sz="1000"/>
            <a:t>PAYMENT METHOD</a:t>
          </a:r>
        </a:p>
        <a:p>
          <a:pPr algn="l"/>
          <a:r>
            <a:rPr lang="en-GB" sz="1100"/>
            <a:t>        </a:t>
          </a:r>
        </a:p>
        <a:p>
          <a:pPr algn="l"/>
          <a:r>
            <a:rPr lang="en-GB" sz="1100">
              <a:solidFill>
                <a:srgbClr val="F4A261"/>
              </a:solidFill>
            </a:rPr>
            <a:t>            </a:t>
          </a:r>
          <a:endParaRPr lang="en-NG" sz="1100">
            <a:solidFill>
              <a:srgbClr val="F4A261"/>
            </a:solidFill>
          </a:endParaRPr>
        </a:p>
      </xdr:txBody>
    </xdr:sp>
    <xdr:clientData/>
  </xdr:twoCellAnchor>
  <xdr:twoCellAnchor>
    <xdr:from>
      <xdr:col>9</xdr:col>
      <xdr:colOff>44792</xdr:colOff>
      <xdr:row>9</xdr:row>
      <xdr:rowOff>87276</xdr:rowOff>
    </xdr:from>
    <xdr:to>
      <xdr:col>11</xdr:col>
      <xdr:colOff>491884</xdr:colOff>
      <xdr:row>14</xdr:row>
      <xdr:rowOff>49176</xdr:rowOff>
    </xdr:to>
    <xdr:sp macro="" textlink="">
      <xdr:nvSpPr>
        <xdr:cNvPr id="23" name="Rectangle 22">
          <a:extLst>
            <a:ext uri="{FF2B5EF4-FFF2-40B4-BE49-F238E27FC236}">
              <a16:creationId xmlns:a16="http://schemas.microsoft.com/office/drawing/2014/main" id="{F23DBEAC-7C46-4810-B9F1-1429787428B3}"/>
            </a:ext>
          </a:extLst>
        </xdr:cNvPr>
        <xdr:cNvSpPr/>
      </xdr:nvSpPr>
      <xdr:spPr>
        <a:xfrm>
          <a:off x="5527205" y="1781840"/>
          <a:ext cx="1665406" cy="903324"/>
        </a:xfrm>
        <a:prstGeom prst="rect">
          <a:avLst/>
        </a:prstGeom>
        <a:solidFill>
          <a:srgbClr val="1B365D"/>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i="0" u="none" strike="noStrike">
            <a:solidFill>
              <a:schemeClr val="lt1"/>
            </a:solidFill>
            <a:effectLst/>
            <a:latin typeface="+mn-lt"/>
            <a:ea typeface="+mn-ea"/>
            <a:cs typeface="+mn-cs"/>
          </a:endParaRPr>
        </a:p>
        <a:p>
          <a:pPr algn="l"/>
          <a:endParaRPr lang="en-GB" sz="1100" b="0" i="0" u="none" strike="noStrike">
            <a:solidFill>
              <a:schemeClr val="lt1"/>
            </a:solidFill>
            <a:effectLst/>
            <a:latin typeface="+mn-lt"/>
            <a:ea typeface="+mn-ea"/>
            <a:cs typeface="+mn-cs"/>
          </a:endParaRPr>
        </a:p>
        <a:p>
          <a:pPr algn="l"/>
          <a:r>
            <a:rPr lang="en-GB" sz="1000"/>
            <a:t>AVG MONTHLY SPENDING</a:t>
          </a:r>
          <a:endParaRPr lang="en-NG" sz="1000"/>
        </a:p>
      </xdr:txBody>
    </xdr:sp>
    <xdr:clientData/>
  </xdr:twoCellAnchor>
  <xdr:twoCellAnchor editAs="oneCell">
    <xdr:from>
      <xdr:col>0</xdr:col>
      <xdr:colOff>257175</xdr:colOff>
      <xdr:row>9</xdr:row>
      <xdr:rowOff>114300</xdr:rowOff>
    </xdr:from>
    <xdr:to>
      <xdr:col>1</xdr:col>
      <xdr:colOff>0</xdr:colOff>
      <xdr:row>11</xdr:row>
      <xdr:rowOff>85725</xdr:rowOff>
    </xdr:to>
    <xdr:pic>
      <xdr:nvPicPr>
        <xdr:cNvPr id="27" name="Graphic 26" descr="Tax with solid fill">
          <a:extLst>
            <a:ext uri="{FF2B5EF4-FFF2-40B4-BE49-F238E27FC236}">
              <a16:creationId xmlns:a16="http://schemas.microsoft.com/office/drawing/2014/main" id="{41E12AB0-2D03-15F4-9581-0A73039E2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7175" y="1828800"/>
          <a:ext cx="352425" cy="352425"/>
        </a:xfrm>
        <a:prstGeom prst="rect">
          <a:avLst/>
        </a:prstGeom>
      </xdr:spPr>
    </xdr:pic>
    <xdr:clientData/>
  </xdr:twoCellAnchor>
  <xdr:oneCellAnchor>
    <xdr:from>
      <xdr:col>0</xdr:col>
      <xdr:colOff>384887</xdr:colOff>
      <xdr:row>12</xdr:row>
      <xdr:rowOff>153955</xdr:rowOff>
    </xdr:from>
    <xdr:ext cx="1138581" cy="311496"/>
    <xdr:sp macro="" textlink="">
      <xdr:nvSpPr>
        <xdr:cNvPr id="28" name="TextBox 27">
          <a:extLst>
            <a:ext uri="{FF2B5EF4-FFF2-40B4-BE49-F238E27FC236}">
              <a16:creationId xmlns:a16="http://schemas.microsoft.com/office/drawing/2014/main" id="{8D0E86C0-A28F-B2DE-BC5A-3C58A3C66A23}"/>
            </a:ext>
          </a:extLst>
        </xdr:cNvPr>
        <xdr:cNvSpPr txBox="1"/>
      </xdr:nvSpPr>
      <xdr:spPr>
        <a:xfrm>
          <a:off x="384887" y="2413374"/>
          <a:ext cx="113858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NG" sz="1400" b="1" i="0" u="none" strike="noStrike">
              <a:solidFill>
                <a:srgbClr val="F4A261"/>
              </a:solidFill>
              <a:effectLst/>
              <a:latin typeface="+mn-lt"/>
              <a:ea typeface="+mn-ea"/>
              <a:cs typeface="+mn-cs"/>
            </a:rPr>
            <a:t>₦12,939,933</a:t>
          </a:r>
          <a:r>
            <a:rPr lang="en-NG" sz="1400" b="1">
              <a:solidFill>
                <a:srgbClr val="F4A261"/>
              </a:solidFill>
              <a:effectLst/>
            </a:rPr>
            <a:t> </a:t>
          </a:r>
          <a:endParaRPr lang="en-NG" sz="1400" b="1">
            <a:solidFill>
              <a:srgbClr val="F4A261"/>
            </a:solidFill>
          </a:endParaRPr>
        </a:p>
      </xdr:txBody>
    </xdr:sp>
    <xdr:clientData/>
  </xdr:oneCellAnchor>
  <xdr:oneCellAnchor>
    <xdr:from>
      <xdr:col>3</xdr:col>
      <xdr:colOff>262424</xdr:colOff>
      <xdr:row>12</xdr:row>
      <xdr:rowOff>174950</xdr:rowOff>
    </xdr:from>
    <xdr:ext cx="1047594" cy="234846"/>
    <xdr:sp macro="" textlink="">
      <xdr:nvSpPr>
        <xdr:cNvPr id="31" name="TextBox 30">
          <a:extLst>
            <a:ext uri="{FF2B5EF4-FFF2-40B4-BE49-F238E27FC236}">
              <a16:creationId xmlns:a16="http://schemas.microsoft.com/office/drawing/2014/main" id="{2930DB95-72E1-C0EB-98D5-D6E77D76F0F0}"/>
            </a:ext>
          </a:extLst>
        </xdr:cNvPr>
        <xdr:cNvSpPr txBox="1"/>
      </xdr:nvSpPr>
      <xdr:spPr>
        <a:xfrm>
          <a:off x="2089895" y="2434369"/>
          <a:ext cx="1047594" cy="2348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NG" sz="1400" b="1" i="0" u="none" strike="noStrike">
              <a:solidFill>
                <a:srgbClr val="F4A261"/>
              </a:solidFill>
              <a:effectLst/>
              <a:latin typeface="+mn-lt"/>
              <a:ea typeface="+mn-ea"/>
              <a:cs typeface="+mn-cs"/>
            </a:rPr>
            <a:t>₦3,163,200</a:t>
          </a:r>
          <a:r>
            <a:rPr lang="en-NG" sz="1400" b="1">
              <a:solidFill>
                <a:srgbClr val="F4A261"/>
              </a:solidFill>
              <a:effectLst/>
            </a:rPr>
            <a:t> </a:t>
          </a:r>
          <a:endParaRPr lang="en-NG" sz="1400" b="1">
            <a:solidFill>
              <a:srgbClr val="F4A261"/>
            </a:solidFill>
          </a:endParaRPr>
        </a:p>
      </xdr:txBody>
    </xdr:sp>
    <xdr:clientData/>
  </xdr:oneCellAnchor>
  <xdr:twoCellAnchor editAs="oneCell">
    <xdr:from>
      <xdr:col>2</xdr:col>
      <xdr:colOff>602604</xdr:colOff>
      <xdr:row>9</xdr:row>
      <xdr:rowOff>97194</xdr:rowOff>
    </xdr:from>
    <xdr:to>
      <xdr:col>3</xdr:col>
      <xdr:colOff>301302</xdr:colOff>
      <xdr:row>11</xdr:row>
      <xdr:rowOff>19438</xdr:rowOff>
    </xdr:to>
    <xdr:pic>
      <xdr:nvPicPr>
        <xdr:cNvPr id="33" name="Graphic 32" descr="Fuel with solid fill">
          <a:extLst>
            <a:ext uri="{FF2B5EF4-FFF2-40B4-BE49-F238E27FC236}">
              <a16:creationId xmlns:a16="http://schemas.microsoft.com/office/drawing/2014/main" id="{8FB55CD2-367B-EACC-E223-515B704106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27247" y="1846684"/>
          <a:ext cx="311019" cy="311019"/>
        </a:xfrm>
        <a:prstGeom prst="rect">
          <a:avLst/>
        </a:prstGeom>
      </xdr:spPr>
    </xdr:pic>
    <xdr:clientData/>
  </xdr:twoCellAnchor>
  <xdr:oneCellAnchor>
    <xdr:from>
      <xdr:col>6</xdr:col>
      <xdr:colOff>187380</xdr:colOff>
      <xdr:row>12</xdr:row>
      <xdr:rowOff>162519</xdr:rowOff>
    </xdr:from>
    <xdr:ext cx="1047594" cy="269428"/>
    <xdr:sp macro="" textlink="">
      <xdr:nvSpPr>
        <xdr:cNvPr id="34" name="TextBox 33">
          <a:extLst>
            <a:ext uri="{FF2B5EF4-FFF2-40B4-BE49-F238E27FC236}">
              <a16:creationId xmlns:a16="http://schemas.microsoft.com/office/drawing/2014/main" id="{0215D879-BFFC-1061-0741-32588FEB1B03}"/>
            </a:ext>
          </a:extLst>
        </xdr:cNvPr>
        <xdr:cNvSpPr txBox="1"/>
      </xdr:nvSpPr>
      <xdr:spPr>
        <a:xfrm>
          <a:off x="3842322" y="2421938"/>
          <a:ext cx="1047594" cy="26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NG" sz="1400" b="1" i="0" u="none" strike="noStrike">
              <a:solidFill>
                <a:srgbClr val="F4A261"/>
              </a:solidFill>
              <a:effectLst/>
              <a:latin typeface="+mn-lt"/>
              <a:ea typeface="+mn-ea"/>
              <a:cs typeface="+mn-cs"/>
            </a:rPr>
            <a:t>₦1,586,300</a:t>
          </a:r>
          <a:r>
            <a:rPr lang="en-NG" sz="1400" b="1">
              <a:solidFill>
                <a:srgbClr val="F4A261"/>
              </a:solidFill>
              <a:effectLst/>
            </a:rPr>
            <a:t> </a:t>
          </a:r>
          <a:endParaRPr lang="en-NG" sz="1400" b="1">
            <a:solidFill>
              <a:srgbClr val="F4A261"/>
            </a:solidFill>
          </a:endParaRPr>
        </a:p>
      </xdr:txBody>
    </xdr:sp>
    <xdr:clientData/>
  </xdr:oneCellAnchor>
  <xdr:twoCellAnchor editAs="oneCell">
    <xdr:from>
      <xdr:col>6</xdr:col>
      <xdr:colOff>38878</xdr:colOff>
      <xdr:row>9</xdr:row>
      <xdr:rowOff>77756</xdr:rowOff>
    </xdr:from>
    <xdr:to>
      <xdr:col>6</xdr:col>
      <xdr:colOff>408215</xdr:colOff>
      <xdr:row>11</xdr:row>
      <xdr:rowOff>58318</xdr:rowOff>
    </xdr:to>
    <xdr:pic>
      <xdr:nvPicPr>
        <xdr:cNvPr id="36" name="Graphic 35" descr="Upward trend with solid fill">
          <a:extLst>
            <a:ext uri="{FF2B5EF4-FFF2-40B4-BE49-F238E27FC236}">
              <a16:creationId xmlns:a16="http://schemas.microsoft.com/office/drawing/2014/main" id="{345CB912-DF8E-2403-D7D9-CB44E7EA15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12807" y="1827246"/>
          <a:ext cx="369337" cy="369337"/>
        </a:xfrm>
        <a:prstGeom prst="rect">
          <a:avLst/>
        </a:prstGeom>
      </xdr:spPr>
    </xdr:pic>
    <xdr:clientData/>
  </xdr:twoCellAnchor>
  <xdr:oneCellAnchor>
    <xdr:from>
      <xdr:col>9</xdr:col>
      <xdr:colOff>281862</xdr:colOff>
      <xdr:row>12</xdr:row>
      <xdr:rowOff>144436</xdr:rowOff>
    </xdr:from>
    <xdr:ext cx="1113661" cy="254285"/>
    <xdr:sp macro="" textlink="">
      <xdr:nvSpPr>
        <xdr:cNvPr id="39" name="TextBox 38">
          <a:extLst>
            <a:ext uri="{FF2B5EF4-FFF2-40B4-BE49-F238E27FC236}">
              <a16:creationId xmlns:a16="http://schemas.microsoft.com/office/drawing/2014/main" id="{977E3F98-7A42-5864-738C-1872BE2E0018}"/>
            </a:ext>
          </a:extLst>
        </xdr:cNvPr>
        <xdr:cNvSpPr txBox="1"/>
      </xdr:nvSpPr>
      <xdr:spPr>
        <a:xfrm>
          <a:off x="5764275" y="2403855"/>
          <a:ext cx="1113661" cy="254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NG" sz="1400" b="1" i="0" u="none" strike="noStrike">
              <a:solidFill>
                <a:srgbClr val="F4A261"/>
              </a:solidFill>
              <a:effectLst/>
              <a:latin typeface="+mn-lt"/>
              <a:ea typeface="+mn-ea"/>
              <a:cs typeface="+mn-cs"/>
            </a:rPr>
            <a:t>₦1,078,328</a:t>
          </a:r>
          <a:r>
            <a:rPr lang="en-NG" sz="1400" b="1">
              <a:solidFill>
                <a:srgbClr val="F4A261"/>
              </a:solidFill>
              <a:effectLst/>
            </a:rPr>
            <a:t> </a:t>
          </a:r>
          <a:endParaRPr lang="en-NG" sz="1400" b="1">
            <a:solidFill>
              <a:srgbClr val="F4A261"/>
            </a:solidFill>
          </a:endParaRPr>
        </a:p>
      </xdr:txBody>
    </xdr:sp>
    <xdr:clientData/>
  </xdr:oneCellAnchor>
  <xdr:oneCellAnchor>
    <xdr:from>
      <xdr:col>12</xdr:col>
      <xdr:colOff>520553</xdr:colOff>
      <xdr:row>12</xdr:row>
      <xdr:rowOff>107139</xdr:rowOff>
    </xdr:from>
    <xdr:ext cx="685572" cy="247280"/>
    <xdr:sp macro="" textlink="">
      <xdr:nvSpPr>
        <xdr:cNvPr id="40" name="TextBox 39">
          <a:extLst>
            <a:ext uri="{FF2B5EF4-FFF2-40B4-BE49-F238E27FC236}">
              <a16:creationId xmlns:a16="http://schemas.microsoft.com/office/drawing/2014/main" id="{5AB00CCC-D0EA-F430-FFF4-8D373D7A59CA}"/>
            </a:ext>
          </a:extLst>
        </xdr:cNvPr>
        <xdr:cNvSpPr txBox="1"/>
      </xdr:nvSpPr>
      <xdr:spPr>
        <a:xfrm>
          <a:off x="7830437" y="2366558"/>
          <a:ext cx="685572" cy="247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400" b="1">
              <a:solidFill>
                <a:srgbClr val="F4A261"/>
              </a:solidFill>
            </a:rPr>
            <a:t>Transfer</a:t>
          </a:r>
          <a:endParaRPr lang="en-NG" sz="1400" b="1">
            <a:solidFill>
              <a:srgbClr val="F4A261"/>
            </a:solidFill>
          </a:endParaRPr>
        </a:p>
      </xdr:txBody>
    </xdr:sp>
    <xdr:clientData/>
  </xdr:oneCellAnchor>
  <xdr:twoCellAnchor editAs="oneCell">
    <xdr:from>
      <xdr:col>9</xdr:col>
      <xdr:colOff>19438</xdr:colOff>
      <xdr:row>9</xdr:row>
      <xdr:rowOff>38878</xdr:rowOff>
    </xdr:from>
    <xdr:to>
      <xdr:col>9</xdr:col>
      <xdr:colOff>466531</xdr:colOff>
      <xdr:row>11</xdr:row>
      <xdr:rowOff>97196</xdr:rowOff>
    </xdr:to>
    <xdr:pic>
      <xdr:nvPicPr>
        <xdr:cNvPr id="42" name="Graphic 41" descr="Daily calendar with solid fill">
          <a:extLst>
            <a:ext uri="{FF2B5EF4-FFF2-40B4-BE49-F238E27FC236}">
              <a16:creationId xmlns:a16="http://schemas.microsoft.com/office/drawing/2014/main" id="{03AF9AEE-D894-0E78-7DCA-8F9386B9C27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30331" y="1788368"/>
          <a:ext cx="447093" cy="447093"/>
        </a:xfrm>
        <a:prstGeom prst="rect">
          <a:avLst/>
        </a:prstGeom>
      </xdr:spPr>
    </xdr:pic>
    <xdr:clientData/>
  </xdr:twoCellAnchor>
  <xdr:twoCellAnchor editAs="oneCell">
    <xdr:from>
      <xdr:col>12</xdr:col>
      <xdr:colOff>342667</xdr:colOff>
      <xdr:row>9</xdr:row>
      <xdr:rowOff>77756</xdr:rowOff>
    </xdr:from>
    <xdr:to>
      <xdr:col>13</xdr:col>
      <xdr:colOff>83407</xdr:colOff>
      <xdr:row>10</xdr:row>
      <xdr:rowOff>165229</xdr:rowOff>
    </xdr:to>
    <xdr:pic>
      <xdr:nvPicPr>
        <xdr:cNvPr id="44" name="Graphic 43" descr="Transfer with solid fill">
          <a:extLst>
            <a:ext uri="{FF2B5EF4-FFF2-40B4-BE49-F238E27FC236}">
              <a16:creationId xmlns:a16="http://schemas.microsoft.com/office/drawing/2014/main" id="{C520A3AA-CD29-F919-9BAC-5B81BBC5522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52551" y="1772320"/>
          <a:ext cx="349897" cy="275758"/>
        </a:xfrm>
        <a:prstGeom prst="rect">
          <a:avLst/>
        </a:prstGeom>
      </xdr:spPr>
    </xdr:pic>
    <xdr:clientData/>
  </xdr:twoCellAnchor>
  <xdr:twoCellAnchor>
    <xdr:from>
      <xdr:col>0</xdr:col>
      <xdr:colOff>451625</xdr:colOff>
      <xdr:row>20</xdr:row>
      <xdr:rowOff>155165</xdr:rowOff>
    </xdr:from>
    <xdr:to>
      <xdr:col>9</xdr:col>
      <xdr:colOff>365637</xdr:colOff>
      <xdr:row>34</xdr:row>
      <xdr:rowOff>75986</xdr:rowOff>
    </xdr:to>
    <xdr:sp macro="" textlink="">
      <xdr:nvSpPr>
        <xdr:cNvPr id="45" name="Rectangle: Rounded Corners 44">
          <a:extLst>
            <a:ext uri="{FF2B5EF4-FFF2-40B4-BE49-F238E27FC236}">
              <a16:creationId xmlns:a16="http://schemas.microsoft.com/office/drawing/2014/main" id="{F08BC60A-9263-CC84-5E00-3EB73D5382E2}"/>
            </a:ext>
          </a:extLst>
        </xdr:cNvPr>
        <xdr:cNvSpPr/>
      </xdr:nvSpPr>
      <xdr:spPr>
        <a:xfrm>
          <a:off x="451625" y="3842262"/>
          <a:ext cx="5444657" cy="2501789"/>
        </a:xfrm>
        <a:prstGeom prst="roundRect">
          <a:avLst>
            <a:gd name="adj" fmla="val 21042"/>
          </a:avLst>
        </a:prstGeom>
        <a:solidFill>
          <a:srgbClr val="1E1E1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593023</xdr:colOff>
      <xdr:row>20</xdr:row>
      <xdr:rowOff>154781</xdr:rowOff>
    </xdr:from>
    <xdr:to>
      <xdr:col>9</xdr:col>
      <xdr:colOff>107156</xdr:colOff>
      <xdr:row>33</xdr:row>
      <xdr:rowOff>52437</xdr:rowOff>
    </xdr:to>
    <xdr:graphicFrame macro="">
      <xdr:nvGraphicFramePr>
        <xdr:cNvPr id="46" name="Chart 45">
          <a:extLst>
            <a:ext uri="{FF2B5EF4-FFF2-40B4-BE49-F238E27FC236}">
              <a16:creationId xmlns:a16="http://schemas.microsoft.com/office/drawing/2014/main" id="{0F751354-C111-42AC-8A85-25ECFE8AF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251527</xdr:colOff>
      <xdr:row>21</xdr:row>
      <xdr:rowOff>3456</xdr:rowOff>
    </xdr:from>
    <xdr:to>
      <xdr:col>19</xdr:col>
      <xdr:colOff>584182</xdr:colOff>
      <xdr:row>34</xdr:row>
      <xdr:rowOff>72974</xdr:rowOff>
    </xdr:to>
    <xdr:sp macro="" textlink="">
      <xdr:nvSpPr>
        <xdr:cNvPr id="49" name="Rectangle: Rounded Corners 48">
          <a:extLst>
            <a:ext uri="{FF2B5EF4-FFF2-40B4-BE49-F238E27FC236}">
              <a16:creationId xmlns:a16="http://schemas.microsoft.com/office/drawing/2014/main" id="{963DD8F0-40F6-526E-3FA2-CB1D856BA69C}"/>
            </a:ext>
          </a:extLst>
        </xdr:cNvPr>
        <xdr:cNvSpPr/>
      </xdr:nvSpPr>
      <xdr:spPr>
        <a:xfrm>
          <a:off x="7011204" y="3874908"/>
          <a:ext cx="5248784" cy="2466131"/>
        </a:xfrm>
        <a:prstGeom prst="roundRect">
          <a:avLst/>
        </a:prstGeom>
        <a:solidFill>
          <a:srgbClr val="1E1E1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FFFFFF"/>
            </a:solidFill>
          </a:endParaRPr>
        </a:p>
      </xdr:txBody>
    </xdr:sp>
    <xdr:clientData/>
  </xdr:twoCellAnchor>
  <xdr:twoCellAnchor>
    <xdr:from>
      <xdr:col>12</xdr:col>
      <xdr:colOff>233109</xdr:colOff>
      <xdr:row>20</xdr:row>
      <xdr:rowOff>158219</xdr:rowOff>
    </xdr:from>
    <xdr:to>
      <xdr:col>19</xdr:col>
      <xdr:colOff>308151</xdr:colOff>
      <xdr:row>32</xdr:row>
      <xdr:rowOff>99902</xdr:rowOff>
    </xdr:to>
    <xdr:graphicFrame macro="">
      <xdr:nvGraphicFramePr>
        <xdr:cNvPr id="51" name="Chart 50">
          <a:extLst>
            <a:ext uri="{FF2B5EF4-FFF2-40B4-BE49-F238E27FC236}">
              <a16:creationId xmlns:a16="http://schemas.microsoft.com/office/drawing/2014/main" id="{D411A8C9-AD5A-49CA-849B-A14357C18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538915</xdr:colOff>
      <xdr:row>35</xdr:row>
      <xdr:rowOff>59532</xdr:rowOff>
    </xdr:from>
    <xdr:to>
      <xdr:col>16</xdr:col>
      <xdr:colOff>120981</xdr:colOff>
      <xdr:row>48</xdr:row>
      <xdr:rowOff>127994</xdr:rowOff>
    </xdr:to>
    <xdr:sp macro="" textlink="">
      <xdr:nvSpPr>
        <xdr:cNvPr id="52" name="Rectangle: Rounded Corners 51">
          <a:extLst>
            <a:ext uri="{FF2B5EF4-FFF2-40B4-BE49-F238E27FC236}">
              <a16:creationId xmlns:a16="http://schemas.microsoft.com/office/drawing/2014/main" id="{D259622F-D944-F671-0D67-405004A0FD86}"/>
            </a:ext>
          </a:extLst>
        </xdr:cNvPr>
        <xdr:cNvSpPr/>
      </xdr:nvSpPr>
      <xdr:spPr>
        <a:xfrm>
          <a:off x="1753353" y="6727032"/>
          <a:ext cx="8083128" cy="2544962"/>
        </a:xfrm>
        <a:prstGeom prst="roundRect">
          <a:avLst/>
        </a:prstGeom>
        <a:solidFill>
          <a:srgbClr val="1E1E1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5306</xdr:colOff>
      <xdr:row>37</xdr:row>
      <xdr:rowOff>107156</xdr:rowOff>
    </xdr:from>
    <xdr:to>
      <xdr:col>15</xdr:col>
      <xdr:colOff>476250</xdr:colOff>
      <xdr:row>48</xdr:row>
      <xdr:rowOff>166687</xdr:rowOff>
    </xdr:to>
    <xdr:graphicFrame macro="">
      <xdr:nvGraphicFramePr>
        <xdr:cNvPr id="53" name="Chart 52">
          <a:extLst>
            <a:ext uri="{FF2B5EF4-FFF2-40B4-BE49-F238E27FC236}">
              <a16:creationId xmlns:a16="http://schemas.microsoft.com/office/drawing/2014/main" id="{098D8083-6327-42A3-9261-C477BEA03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17</xdr:col>
      <xdr:colOff>423257</xdr:colOff>
      <xdr:row>1</xdr:row>
      <xdr:rowOff>15363</xdr:rowOff>
    </xdr:from>
    <xdr:to>
      <xdr:col>20</xdr:col>
      <xdr:colOff>242292</xdr:colOff>
      <xdr:row>8</xdr:row>
      <xdr:rowOff>3784</xdr:rowOff>
    </xdr:to>
    <mc:AlternateContent xmlns:mc="http://schemas.openxmlformats.org/markup-compatibility/2006" xmlns:a14="http://schemas.microsoft.com/office/drawing/2010/main">
      <mc:Choice Requires="a14">
        <xdr:graphicFrame macro="">
          <xdr:nvGraphicFramePr>
            <xdr:cNvPr id="54" name="Year 1">
              <a:extLst>
                <a:ext uri="{FF2B5EF4-FFF2-40B4-BE49-F238E27FC236}">
                  <a16:creationId xmlns:a16="http://schemas.microsoft.com/office/drawing/2014/main" id="{0ED21F4F-E92A-475C-93E2-BE02BAD06AA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778926" y="185280"/>
              <a:ext cx="1646506" cy="132478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580813</xdr:colOff>
      <xdr:row>1</xdr:row>
      <xdr:rowOff>0</xdr:rowOff>
    </xdr:from>
    <xdr:to>
      <xdr:col>17</xdr:col>
      <xdr:colOff>399849</xdr:colOff>
      <xdr:row>8</xdr:row>
      <xdr:rowOff>13197</xdr:rowOff>
    </xdr:to>
    <mc:AlternateContent xmlns:mc="http://schemas.openxmlformats.org/markup-compatibility/2006" xmlns:a14="http://schemas.microsoft.com/office/drawing/2010/main">
      <mc:Choice Requires="a14">
        <xdr:graphicFrame macro="">
          <xdr:nvGraphicFramePr>
            <xdr:cNvPr id="55" name="Month 1">
              <a:extLst>
                <a:ext uri="{FF2B5EF4-FFF2-40B4-BE49-F238E27FC236}">
                  <a16:creationId xmlns:a16="http://schemas.microsoft.com/office/drawing/2014/main" id="{662DA9E3-3560-4856-A6B5-A846E065561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109011" y="189681"/>
              <a:ext cx="1646507" cy="132979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126352</xdr:colOff>
      <xdr:row>0</xdr:row>
      <xdr:rowOff>184668</xdr:rowOff>
    </xdr:from>
    <xdr:to>
      <xdr:col>14</xdr:col>
      <xdr:colOff>557709</xdr:colOff>
      <xdr:row>8</xdr:row>
      <xdr:rowOff>13198</xdr:rowOff>
    </xdr:to>
    <mc:AlternateContent xmlns:mc="http://schemas.openxmlformats.org/markup-compatibility/2006" xmlns:a14="http://schemas.microsoft.com/office/drawing/2010/main">
      <mc:Choice Requires="a14">
        <xdr:graphicFrame macro="">
          <xdr:nvGraphicFramePr>
            <xdr:cNvPr id="56" name="Category 1">
              <a:extLst>
                <a:ext uri="{FF2B5EF4-FFF2-40B4-BE49-F238E27FC236}">
                  <a16:creationId xmlns:a16="http://schemas.microsoft.com/office/drawing/2014/main" id="{9FC8A9C0-5365-4597-BB84-D54D571E2B8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436236" y="184668"/>
              <a:ext cx="1649671" cy="133480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166687</xdr:colOff>
      <xdr:row>8</xdr:row>
      <xdr:rowOff>81934</xdr:rowOff>
    </xdr:from>
    <xdr:to>
      <xdr:col>20</xdr:col>
      <xdr:colOff>235564</xdr:colOff>
      <xdr:row>19</xdr:row>
      <xdr:rowOff>153628</xdr:rowOff>
    </xdr:to>
    <xdr:sp macro="" textlink="">
      <xdr:nvSpPr>
        <xdr:cNvPr id="1032" name="Text Box 8">
          <a:extLst>
            <a:ext uri="{FF2B5EF4-FFF2-40B4-BE49-F238E27FC236}">
              <a16:creationId xmlns:a16="http://schemas.microsoft.com/office/drawing/2014/main" id="{5FE29139-9D48-5262-34C5-7AEB369A2C51}"/>
            </a:ext>
          </a:extLst>
        </xdr:cNvPr>
        <xdr:cNvSpPr txBox="1">
          <a:spLocks noChangeArrowheads="1"/>
        </xdr:cNvSpPr>
      </xdr:nvSpPr>
      <xdr:spPr bwMode="auto">
        <a:xfrm>
          <a:off x="9998945" y="1556773"/>
          <a:ext cx="2526942" cy="2099597"/>
        </a:xfrm>
        <a:prstGeom prst="rect">
          <a:avLst/>
        </a:prstGeom>
        <a:solidFill>
          <a:srgbClr val="2B2B2B"/>
        </a:solidFill>
        <a:ln w="9525">
          <a:solidFill>
            <a:srgbClr val="000000"/>
          </a:solidFill>
          <a:miter lim="800000"/>
          <a:headEnd/>
          <a:tailEnd/>
        </a:ln>
      </xdr:spPr>
      <xdr:txBody>
        <a:bodyPr vertOverflow="clip" wrap="square" lIns="27432" tIns="27432" rIns="0" bIns="0" anchor="t" upright="1"/>
        <a:lstStyle/>
        <a:p>
          <a:pPr algn="l" rtl="0">
            <a:defRPr sz="1000"/>
          </a:pPr>
          <a:r>
            <a:rPr lang="en-NG" sz="1200" b="0" i="0" u="none" strike="noStrike" baseline="0">
              <a:solidFill>
                <a:srgbClr val="F4A261"/>
              </a:solidFill>
              <a:latin typeface="Aptos Narrow"/>
            </a:rPr>
            <a:t>KEY INSIGHTS</a:t>
          </a:r>
        </a:p>
        <a:p>
          <a:pPr algn="l" rtl="0">
            <a:defRPr sz="1000"/>
          </a:pPr>
          <a:endParaRPr lang="en-NG" sz="1200" b="0" i="0" u="none" strike="noStrike" baseline="0">
            <a:solidFill>
              <a:srgbClr val="F4A261"/>
            </a:solidFill>
            <a:latin typeface="Aptos Narrow"/>
          </a:endParaRPr>
        </a:p>
        <a:p>
          <a:pPr algn="l" rtl="0">
            <a:defRPr sz="1000"/>
          </a:pPr>
          <a:r>
            <a:rPr lang="en-NG" sz="1200" b="0" i="0" u="none" strike="noStrike" baseline="0">
              <a:solidFill>
                <a:srgbClr val="F4A261"/>
              </a:solidFill>
              <a:latin typeface="Aptos Narrow"/>
            </a:rPr>
            <a:t>* Fuel remained the highest operational expense.</a:t>
          </a:r>
        </a:p>
        <a:p>
          <a:pPr algn="l" rtl="0">
            <a:defRPr sz="1000"/>
          </a:pPr>
          <a:r>
            <a:rPr lang="en-NG" sz="1200" b="0" i="0" u="none" strike="noStrike" baseline="0">
              <a:solidFill>
                <a:srgbClr val="F4A261"/>
              </a:solidFill>
              <a:latin typeface="Aptos Narrow"/>
            </a:rPr>
            <a:t>* Transfer accounted for 72% of all payments.</a:t>
          </a:r>
        </a:p>
        <a:p>
          <a:pPr algn="l" rtl="0">
            <a:defRPr sz="1000"/>
          </a:pPr>
          <a:r>
            <a:rPr lang="en-NG" sz="1200" b="0" i="0" u="none" strike="noStrike" baseline="0">
              <a:solidFill>
                <a:srgbClr val="F4A261"/>
              </a:solidFill>
              <a:latin typeface="Aptos Narrow"/>
            </a:rPr>
            <a:t>* Spending peaked in July 2025.</a:t>
          </a:r>
        </a:p>
        <a:p>
          <a:pPr algn="l" rtl="0">
            <a:defRPr sz="1000"/>
          </a:pPr>
          <a:r>
            <a:rPr lang="en-NG" sz="1200" b="0" i="0" u="none" strike="noStrike" baseline="0">
              <a:solidFill>
                <a:srgbClr val="F4A261"/>
              </a:solidFill>
              <a:latin typeface="Aptos Narrow"/>
            </a:rPr>
            <a:t>* Welfare expenses increased significantly in 2025.</a:t>
          </a:r>
        </a:p>
        <a:p>
          <a:pPr algn="l" rtl="0">
            <a:defRPr sz="1000"/>
          </a:pPr>
          <a:r>
            <a:rPr lang="en-NG" sz="1200" b="0" i="0" u="none" strike="noStrike" baseline="0">
              <a:solidFill>
                <a:srgbClr val="F4A261"/>
              </a:solidFill>
              <a:latin typeface="Aptos Narrow"/>
            </a:rPr>
            <a:t>* Expenses reduced toward Q4, suggesting cost stabilization.</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chi.ikwuakam" refreshedDate="46154.55019224537" createdVersion="8" refreshedVersion="8" minRefreshableVersion="3" recordCount="682" xr:uid="{71B7BDE8-93F5-4FF0-87F0-080587B0EB61}">
  <cacheSource type="worksheet">
    <worksheetSource name="Expenses_Transactions"/>
  </cacheSource>
  <cacheFields count="11">
    <cacheField name="Column1" numFmtId="0">
      <sharedItems/>
    </cacheField>
    <cacheField name="Date" numFmtId="14">
      <sharedItems containsSemiMixedTypes="0" containsNonDate="0" containsDate="1" containsString="0" minDate="2024-01-05T00:00:00" maxDate="2025-12-30T00:00:00"/>
    </cacheField>
    <cacheField name="Year" numFmtId="0">
      <sharedItems containsSemiMixedTypes="0" containsString="0" containsNumber="1" containsInteger="1" minValue="2024" maxValue="2025" count="2">
        <n v="2024"/>
        <n v="2025"/>
      </sharedItems>
    </cacheField>
    <cacheField name="Month" numFmtId="0">
      <sharedItems count="12">
        <s v="January"/>
        <s v="February"/>
        <s v="March"/>
        <s v="April"/>
        <s v="May"/>
        <s v="June"/>
        <s v="July"/>
        <s v="August"/>
        <s v="September"/>
        <s v="October"/>
        <s v="November"/>
        <s v="December"/>
      </sharedItems>
    </cacheField>
    <cacheField name="Week_No" numFmtId="0">
      <sharedItems/>
    </cacheField>
    <cacheField name="Description" numFmtId="0">
      <sharedItems/>
    </cacheField>
    <cacheField name="Category" numFmtId="0">
      <sharedItems count="11">
        <s v="Welfare"/>
        <s v="Utilities"/>
        <s v="Marketing"/>
        <s v="Fuel"/>
        <s v="Transport"/>
        <s v="Repairs/Maintainance"/>
        <s v="Waste Disposal"/>
        <s v="Subscription"/>
        <s v="Office Supplies"/>
        <s v="Miscelleneous"/>
        <s v="Paye"/>
      </sharedItems>
    </cacheField>
    <cacheField name="Amount" numFmtId="164">
      <sharedItems containsSemiMixedTypes="0" containsString="0" containsNumber="1" containsInteger="1" minValue="1000" maxValue="250000"/>
    </cacheField>
    <cacheField name="Payment _Method" numFmtId="0">
      <sharedItems count="3">
        <s v="Transfer"/>
        <s v="Card"/>
        <s v="Cash"/>
      </sharedItems>
    </cacheField>
    <cacheField name="Approved_By" numFmtId="0">
      <sharedItems/>
    </cacheField>
    <cacheField name="Note" numFmtId="0">
      <sharedItems/>
    </cacheField>
  </cacheFields>
  <extLst>
    <ext xmlns:x14="http://schemas.microsoft.com/office/spreadsheetml/2009/9/main" uri="{725AE2AE-9491-48be-B2B4-4EB974FC3084}">
      <x14:pivotCacheDefinition pivotCacheId="1205379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2">
  <r>
    <s v="PCOO1"/>
    <d v="2024-01-05T00:00:00"/>
    <x v="0"/>
    <x v="0"/>
    <s v="Week1"/>
    <s v="call/data allowance"/>
    <x v="0"/>
    <n v="5000"/>
    <x v="0"/>
    <s v="accountant"/>
    <s v="summary sheet"/>
  </r>
  <r>
    <s v="PCOO2"/>
    <d v="2024-01-12T00:00:00"/>
    <x v="0"/>
    <x v="0"/>
    <s v="Week2"/>
    <s v="electicity expenses"/>
    <x v="1"/>
    <n v="1460"/>
    <x v="0"/>
    <s v="accountant"/>
    <s v="summary sheet"/>
  </r>
  <r>
    <s v="PCOO3"/>
    <d v="2024-01-15T00:00:00"/>
    <x v="0"/>
    <x v="0"/>
    <s v="Week3"/>
    <s v="weekly marketing"/>
    <x v="2"/>
    <n v="11000"/>
    <x v="0"/>
    <s v="accountant"/>
    <s v="summary sheet"/>
  </r>
  <r>
    <s v="PCOO4"/>
    <d v="2024-01-22T00:00:00"/>
    <x v="0"/>
    <x v="0"/>
    <s v="Week4"/>
    <s v="weekly marketing"/>
    <x v="2"/>
    <n v="11000"/>
    <x v="0"/>
    <s v="accountant"/>
    <s v="summary sheet"/>
  </r>
  <r>
    <s v="PCOO5"/>
    <d v="2024-01-22T00:00:00"/>
    <x v="0"/>
    <x v="0"/>
    <s v="Week4"/>
    <s v="purchase of fuel"/>
    <x v="3"/>
    <n v="30000"/>
    <x v="1"/>
    <s v="accountant"/>
    <s v="summary sheet"/>
  </r>
  <r>
    <s v="PCOO6"/>
    <d v="2024-01-24T00:00:00"/>
    <x v="0"/>
    <x v="0"/>
    <s v="Week4"/>
    <s v="transport to the bank"/>
    <x v="4"/>
    <n v="3000"/>
    <x v="2"/>
    <s v="accountant"/>
    <s v="summary sheet"/>
  </r>
  <r>
    <s v="PCOO7"/>
    <d v="2024-01-25T00:00:00"/>
    <x v="0"/>
    <x v="0"/>
    <s v="Week4"/>
    <s v="purchase of water"/>
    <x v="0"/>
    <n v="3300"/>
    <x v="1"/>
    <s v="accountant"/>
    <s v="summary sheet"/>
  </r>
  <r>
    <s v="PCOO8"/>
    <d v="2024-01-25T00:00:00"/>
    <x v="0"/>
    <x v="0"/>
    <s v="Week4"/>
    <s v="fixing &amp;servicing gen"/>
    <x v="5"/>
    <n v="14200"/>
    <x v="0"/>
    <s v="accountant"/>
    <s v="summary sheet"/>
  </r>
  <r>
    <s v="PCOO9"/>
    <d v="2024-01-26T00:00:00"/>
    <x v="0"/>
    <x v="0"/>
    <s v="Week4"/>
    <s v="waste dispoal"/>
    <x v="6"/>
    <n v="7000"/>
    <x v="0"/>
    <s v="accountant"/>
    <s v="summary sheet"/>
  </r>
  <r>
    <s v="PCOO10"/>
    <d v="2024-01-26T00:00:00"/>
    <x v="0"/>
    <x v="0"/>
    <s v="Week4"/>
    <s v="recharge allowance"/>
    <x v="0"/>
    <n v="5000"/>
    <x v="0"/>
    <s v="accountant"/>
    <s v="summary sheet"/>
  </r>
  <r>
    <s v="PCOO11"/>
    <d v="2024-01-29T00:00:00"/>
    <x v="0"/>
    <x v="0"/>
    <s v="Week5"/>
    <s v="travel allowance"/>
    <x v="2"/>
    <n v="54000"/>
    <x v="0"/>
    <s v="accountant"/>
    <s v="summary sheet"/>
  </r>
  <r>
    <s v="PCOO12"/>
    <d v="2024-01-29T00:00:00"/>
    <x v="0"/>
    <x v="0"/>
    <s v="Week5"/>
    <s v="weekly marketing"/>
    <x v="2"/>
    <n v="11000"/>
    <x v="0"/>
    <s v="accountant"/>
    <s v="summary sheet"/>
  </r>
  <r>
    <s v="PCOO13"/>
    <d v="2024-01-30T00:00:00"/>
    <x v="0"/>
    <x v="0"/>
    <s v="Week5"/>
    <s v="purchase of fuel"/>
    <x v="3"/>
    <n v="30000"/>
    <x v="1"/>
    <s v="accountant"/>
    <s v="summary sheet"/>
  </r>
  <r>
    <s v="PCOO14"/>
    <d v="2024-02-01T00:00:00"/>
    <x v="0"/>
    <x v="1"/>
    <s v="Week1"/>
    <s v="electicity expenses"/>
    <x v="1"/>
    <n v="5940"/>
    <x v="0"/>
    <s v="accountant"/>
    <s v="summary sheet"/>
  </r>
  <r>
    <s v="PCOO15"/>
    <d v="2024-02-01T00:00:00"/>
    <x v="0"/>
    <x v="1"/>
    <s v="Week1"/>
    <s v="data allowance"/>
    <x v="0"/>
    <n v="5000"/>
    <x v="0"/>
    <s v="accountant"/>
    <s v="summary sheet"/>
  </r>
  <r>
    <s v="PCOO16"/>
    <d v="2024-02-02T00:00:00"/>
    <x v="0"/>
    <x v="1"/>
    <s v="Week1"/>
    <s v="internet sub PH1"/>
    <x v="7"/>
    <n v="18000"/>
    <x v="0"/>
    <s v="accountant"/>
    <s v="summary sheet"/>
  </r>
  <r>
    <s v="PCOO17"/>
    <d v="2024-02-06T00:00:00"/>
    <x v="0"/>
    <x v="1"/>
    <s v="Week1"/>
    <s v="consumables"/>
    <x v="0"/>
    <n v="60840"/>
    <x v="1"/>
    <s v="accountant"/>
    <s v="summary sheet"/>
  </r>
  <r>
    <s v="PCOO18"/>
    <d v="2024-02-07T00:00:00"/>
    <x v="0"/>
    <x v="1"/>
    <s v="Week1"/>
    <s v="transport to elizade"/>
    <x v="4"/>
    <n v="2500"/>
    <x v="2"/>
    <s v="accountant"/>
    <s v="summary sheet"/>
  </r>
  <r>
    <s v="PCOO19"/>
    <d v="2024-02-05T00:00:00"/>
    <x v="0"/>
    <x v="1"/>
    <s v="Week1"/>
    <s v="marketing expenses"/>
    <x v="2"/>
    <n v="11000"/>
    <x v="0"/>
    <s v="accountant"/>
    <s v="summary sheet"/>
  </r>
  <r>
    <s v="PCOO20"/>
    <d v="2024-02-08T00:00:00"/>
    <x v="0"/>
    <x v="1"/>
    <s v="Week2"/>
    <s v="internet sub PH 2"/>
    <x v="7"/>
    <n v="20000"/>
    <x v="0"/>
    <s v="accountant"/>
    <s v="summary sheet"/>
  </r>
  <r>
    <s v="PCOO21"/>
    <d v="2024-02-12T00:00:00"/>
    <x v="0"/>
    <x v="1"/>
    <s v="Week2"/>
    <s v="marketing expenses"/>
    <x v="2"/>
    <n v="11000"/>
    <x v="0"/>
    <s v="accountant"/>
    <s v="summary sheet"/>
  </r>
  <r>
    <s v="PCOO22"/>
    <d v="2024-02-12T00:00:00"/>
    <x v="0"/>
    <x v="1"/>
    <s v="Week2"/>
    <s v="internet sub PH1"/>
    <x v="7"/>
    <n v="20000"/>
    <x v="0"/>
    <s v="accountant"/>
    <s v="summary sheet"/>
  </r>
  <r>
    <s v="PCOO23"/>
    <d v="2024-02-12T00:00:00"/>
    <x v="0"/>
    <x v="1"/>
    <s v="Week2"/>
    <s v="electicity expenses"/>
    <x v="1"/>
    <n v="1970"/>
    <x v="0"/>
    <s v="accountant"/>
    <s v="summary sheet"/>
  </r>
  <r>
    <s v="PCOO24"/>
    <d v="2024-02-12T00:00:00"/>
    <x v="0"/>
    <x v="1"/>
    <s v="Week2"/>
    <s v="circuit braeker"/>
    <x v="5"/>
    <n v="12500"/>
    <x v="2"/>
    <s v="accountant"/>
    <s v="summary sheet"/>
  </r>
  <r>
    <s v="PCOO25"/>
    <d v="2024-02-19T00:00:00"/>
    <x v="0"/>
    <x v="1"/>
    <s v="Week3"/>
    <s v="marketing expenses"/>
    <x v="2"/>
    <n v="11000"/>
    <x v="0"/>
    <s v="accountant"/>
    <s v="summary sheet"/>
  </r>
  <r>
    <s v="PCOO26"/>
    <d v="2024-02-19T00:00:00"/>
    <x v="0"/>
    <x v="1"/>
    <s v="Week3"/>
    <s v="c _way water refill"/>
    <x v="0"/>
    <n v="3000"/>
    <x v="1"/>
    <s v="accountant"/>
    <s v="summary sheet"/>
  </r>
  <r>
    <s v="PCOO27"/>
    <d v="2024-02-26T00:00:00"/>
    <x v="0"/>
    <x v="1"/>
    <s v="Week4"/>
    <s v="marketing expenses"/>
    <x v="2"/>
    <n v="11000"/>
    <x v="0"/>
    <s v="accountant"/>
    <s v="summary sheet"/>
  </r>
  <r>
    <s v="PCOO28"/>
    <d v="2024-02-26T00:00:00"/>
    <x v="0"/>
    <x v="1"/>
    <s v="Week4"/>
    <s v="recharge allowance"/>
    <x v="0"/>
    <n v="5000"/>
    <x v="0"/>
    <s v="accountant"/>
    <s v="summary sheet"/>
  </r>
  <r>
    <s v="PCOO29"/>
    <d v="2024-02-28T00:00:00"/>
    <x v="0"/>
    <x v="1"/>
    <s v="Week4"/>
    <s v="purchase of fuel"/>
    <x v="3"/>
    <n v="30000"/>
    <x v="1"/>
    <s v="accountant"/>
    <s v="summary sheet"/>
  </r>
  <r>
    <s v="PCOO30"/>
    <d v="2024-02-29T00:00:00"/>
    <x v="0"/>
    <x v="1"/>
    <s v="Week5"/>
    <s v="waste dispoal"/>
    <x v="6"/>
    <n v="7000"/>
    <x v="0"/>
    <s v="accountant"/>
    <s v="summary sheet"/>
  </r>
  <r>
    <s v="PCOO31"/>
    <d v="2024-02-29T00:00:00"/>
    <x v="0"/>
    <x v="1"/>
    <s v="Week5"/>
    <s v="purchase of office stationery"/>
    <x v="8"/>
    <n v="21000"/>
    <x v="1"/>
    <s v="accountant"/>
    <s v="summary sheet"/>
  </r>
  <r>
    <s v="PCOO32"/>
    <d v="2024-03-01T00:00:00"/>
    <x v="0"/>
    <x v="2"/>
    <s v="Week1"/>
    <s v="electicity expenses"/>
    <x v="1"/>
    <n v="7000"/>
    <x v="0"/>
    <s v="accountant"/>
    <s v="summary sheet"/>
  </r>
  <r>
    <s v="PCOO33"/>
    <d v="2024-03-04T00:00:00"/>
    <x v="0"/>
    <x v="2"/>
    <s v="Week1"/>
    <s v="marketing expenses"/>
    <x v="2"/>
    <n v="11000"/>
    <x v="0"/>
    <s v="accountant"/>
    <s v="summary sheet"/>
  </r>
  <r>
    <s v="PCOO34"/>
    <d v="2024-03-04T00:00:00"/>
    <x v="0"/>
    <x v="2"/>
    <s v="Week1"/>
    <s v="internet sub PH 3"/>
    <x v="7"/>
    <n v="18000"/>
    <x v="0"/>
    <s v="accountant"/>
    <s v="summary sheet"/>
  </r>
  <r>
    <s v="PCOO35"/>
    <d v="2024-03-05T00:00:00"/>
    <x v="0"/>
    <x v="2"/>
    <s v="Week1"/>
    <s v="internet sub PH 2"/>
    <x v="7"/>
    <n v="20000"/>
    <x v="0"/>
    <s v="accountant"/>
    <s v="summary sheet"/>
  </r>
  <r>
    <s v="PCOO36"/>
    <d v="2024-03-04T00:00:00"/>
    <x v="0"/>
    <x v="2"/>
    <s v="Week1"/>
    <s v="consumables"/>
    <x v="0"/>
    <n v="64460"/>
    <x v="1"/>
    <s v="accountant"/>
    <s v="summary sheet"/>
  </r>
  <r>
    <s v="PCOO37"/>
    <d v="2024-03-07T00:00:00"/>
    <x v="0"/>
    <x v="2"/>
    <s v="Week1"/>
    <s v="purchase of fuel"/>
    <x v="3"/>
    <n v="17500"/>
    <x v="1"/>
    <s v="accountant"/>
    <s v="summary sheet"/>
  </r>
  <r>
    <s v="PCOO38"/>
    <d v="2024-03-07T00:00:00"/>
    <x v="0"/>
    <x v="2"/>
    <s v="Week1"/>
    <s v="data allowance"/>
    <x v="0"/>
    <n v="5000"/>
    <x v="0"/>
    <s v="accountant"/>
    <s v="summary sheet"/>
  </r>
  <r>
    <s v="PCOO39"/>
    <d v="2024-03-05T00:00:00"/>
    <x v="0"/>
    <x v="2"/>
    <s v="Week1"/>
    <s v="purchase of fuel"/>
    <x v="3"/>
    <n v="30000"/>
    <x v="1"/>
    <s v="accountant"/>
    <s v="summary sheet"/>
  </r>
  <r>
    <s v="PCOO40"/>
    <d v="2024-03-11T00:00:00"/>
    <x v="0"/>
    <x v="2"/>
    <s v="Week2"/>
    <s v="marketing expenses"/>
    <x v="2"/>
    <n v="11000"/>
    <x v="0"/>
    <s v="accountant"/>
    <s v="summary sheet"/>
  </r>
  <r>
    <s v="PCOO41"/>
    <d v="2024-03-11T00:00:00"/>
    <x v="0"/>
    <x v="2"/>
    <s v="Week2"/>
    <s v="flight ticket"/>
    <x v="4"/>
    <n v="1700"/>
    <x v="0"/>
    <s v="accountant"/>
    <s v="summary sheet"/>
  </r>
  <r>
    <s v="PCOO42"/>
    <d v="2024-03-11T00:00:00"/>
    <x v="0"/>
    <x v="2"/>
    <s v="Week2"/>
    <s v="internet  sub PH3"/>
    <x v="7"/>
    <n v="20000"/>
    <x v="0"/>
    <s v="accountant"/>
    <s v="summary sheet"/>
  </r>
  <r>
    <s v="PCOO43"/>
    <d v="2024-03-12T00:00:00"/>
    <x v="0"/>
    <x v="2"/>
    <s v="Week2"/>
    <s v="transportation to mtn office"/>
    <x v="4"/>
    <n v="2000"/>
    <x v="2"/>
    <s v="accountant"/>
    <s v="summary sheet"/>
  </r>
  <r>
    <s v="PCOO44"/>
    <d v="2024-03-12T00:00:00"/>
    <x v="0"/>
    <x v="2"/>
    <s v="Week2"/>
    <s v="purchase of office router charger"/>
    <x v="0"/>
    <n v="6000"/>
    <x v="1"/>
    <s v="accountant"/>
    <s v="summary sheet"/>
  </r>
  <r>
    <s v="PCOO45"/>
    <d v="2024-03-18T00:00:00"/>
    <x v="0"/>
    <x v="2"/>
    <s v="Week3"/>
    <s v="marketing expenses"/>
    <x v="2"/>
    <n v="11000"/>
    <x v="0"/>
    <s v="accountant"/>
    <s v="summary sheet"/>
  </r>
  <r>
    <s v="PCOO46"/>
    <d v="2024-03-18T00:00:00"/>
    <x v="0"/>
    <x v="2"/>
    <s v="Week3"/>
    <s v="electicity expenses"/>
    <x v="1"/>
    <n v="2000"/>
    <x v="0"/>
    <s v="accountant"/>
    <s v="summary sheet"/>
  </r>
  <r>
    <s v="PCOO47"/>
    <d v="2024-03-18T00:00:00"/>
    <x v="0"/>
    <x v="2"/>
    <s v="Week3"/>
    <s v="travel allowance"/>
    <x v="2"/>
    <n v="40500"/>
    <x v="0"/>
    <s v="accountant"/>
    <s v="summary sheet"/>
  </r>
  <r>
    <s v="PCOO48"/>
    <d v="2024-03-20T00:00:00"/>
    <x v="0"/>
    <x v="2"/>
    <s v="Week3"/>
    <s v="flight ticket"/>
    <x v="4"/>
    <n v="1500"/>
    <x v="2"/>
    <s v="accountant"/>
    <s v="summary sheet"/>
  </r>
  <r>
    <s v="PCOO49"/>
    <d v="2024-03-21T00:00:00"/>
    <x v="0"/>
    <x v="2"/>
    <s v="Week3"/>
    <s v="purchase of c_way water"/>
    <x v="0"/>
    <n v="3600"/>
    <x v="1"/>
    <s v="accountant"/>
    <s v="summary sheet"/>
  </r>
  <r>
    <s v="PCOO50"/>
    <d v="2024-03-22T00:00:00"/>
    <x v="0"/>
    <x v="2"/>
    <s v="Week4"/>
    <s v="repair of office tools"/>
    <x v="5"/>
    <n v="5000"/>
    <x v="0"/>
    <s v="accountant"/>
    <s v="summary sheet"/>
  </r>
  <r>
    <s v="PCOO51"/>
    <d v="2024-03-25T00:00:00"/>
    <x v="0"/>
    <x v="2"/>
    <s v="Week4"/>
    <s v="marketing expenses"/>
    <x v="2"/>
    <n v="11000"/>
    <x v="0"/>
    <s v="accountant"/>
    <s v="summary sheet"/>
  </r>
  <r>
    <s v="PCOO52"/>
    <d v="2024-03-25T00:00:00"/>
    <x v="0"/>
    <x v="2"/>
    <s v="Week4"/>
    <s v="recharge allowance"/>
    <x v="0"/>
    <n v="5000"/>
    <x v="0"/>
    <s v="accountant"/>
    <s v="summary sheet"/>
  </r>
  <r>
    <s v="PCOO53"/>
    <d v="2024-03-26T00:00:00"/>
    <x v="0"/>
    <x v="2"/>
    <s v="Week4"/>
    <s v="purchse of vechile battery"/>
    <x v="5"/>
    <n v="94000"/>
    <x v="1"/>
    <s v="accountant"/>
    <s v="summary sheet"/>
  </r>
  <r>
    <s v="PCOO54"/>
    <d v="2024-03-28T00:00:00"/>
    <x v="0"/>
    <x v="2"/>
    <s v="Week4"/>
    <s v="waste dispoal"/>
    <x v="6"/>
    <n v="7000"/>
    <x v="0"/>
    <s v="accountant"/>
    <s v="summary sheet"/>
  </r>
  <r>
    <s v="PCOO55"/>
    <d v="2024-03-29T00:00:00"/>
    <x v="0"/>
    <x v="2"/>
    <s v="Week5"/>
    <s v="electicity expenses"/>
    <x v="1"/>
    <n v="5000"/>
    <x v="0"/>
    <s v="accountant"/>
    <s v="summary sheet"/>
  </r>
  <r>
    <s v="PCOO56"/>
    <d v="2024-04-02T00:00:00"/>
    <x v="0"/>
    <x v="3"/>
    <s v="Week1"/>
    <s v="internet sub PH 1"/>
    <x v="7"/>
    <n v="20000"/>
    <x v="0"/>
    <s v="accountant"/>
    <s v="summary sheet"/>
  </r>
  <r>
    <s v="PCOO57"/>
    <d v="2024-04-02T00:00:00"/>
    <x v="0"/>
    <x v="3"/>
    <s v="Week1"/>
    <s v="data allowance"/>
    <x v="0"/>
    <n v="5000"/>
    <x v="0"/>
    <s v="accountant"/>
    <s v="summary sheet"/>
  </r>
  <r>
    <s v="PCOO58"/>
    <d v="2024-04-02T00:00:00"/>
    <x v="0"/>
    <x v="3"/>
    <s v="Week1"/>
    <s v="purchase of  clip for office tap"/>
    <x v="5"/>
    <n v="2000"/>
    <x v="0"/>
    <s v="accountant"/>
    <s v="summary sheet"/>
  </r>
  <r>
    <s v="PCOO59"/>
    <d v="2024-04-02T00:00:00"/>
    <x v="0"/>
    <x v="3"/>
    <s v="Week1"/>
    <s v="weekly marketing"/>
    <x v="2"/>
    <n v="11000"/>
    <x v="0"/>
    <s v="accountant"/>
    <s v="summary sheet"/>
  </r>
  <r>
    <s v="PCOO60"/>
    <d v="2024-04-03T00:00:00"/>
    <x v="0"/>
    <x v="3"/>
    <s v="Week1"/>
    <s v="internet sub PH 2"/>
    <x v="7"/>
    <n v="18000"/>
    <x v="0"/>
    <s v="accountant"/>
    <s v="summary sheet"/>
  </r>
  <r>
    <s v="PCOO61"/>
    <d v="2024-04-03T00:00:00"/>
    <x v="0"/>
    <x v="3"/>
    <s v="Week1"/>
    <s v="electicity expenses"/>
    <x v="1"/>
    <n v="2000"/>
    <x v="0"/>
    <s v="accountant"/>
    <s v="summary sheet"/>
  </r>
  <r>
    <s v="PCOO62"/>
    <d v="2024-04-04T00:00:00"/>
    <x v="0"/>
    <x v="3"/>
    <s v="Week1"/>
    <s v="consumables"/>
    <x v="0"/>
    <n v="72320"/>
    <x v="1"/>
    <s v="accountant"/>
    <s v="summary sheet"/>
  </r>
  <r>
    <s v="PCOO63"/>
    <d v="2024-04-05T00:00:00"/>
    <x v="0"/>
    <x v="3"/>
    <s v="Week1"/>
    <s v="fumigation"/>
    <x v="5"/>
    <n v="25000"/>
    <x v="0"/>
    <s v="accountant"/>
    <s v="summary sheet"/>
  </r>
  <r>
    <s v="PCOO64"/>
    <d v="2024-04-08T00:00:00"/>
    <x v="0"/>
    <x v="3"/>
    <s v="Week2"/>
    <s v="weekly marketing"/>
    <x v="2"/>
    <n v="11000"/>
    <x v="0"/>
    <s v="accountant"/>
    <s v="summary sheet"/>
  </r>
  <r>
    <s v="PCOO65"/>
    <d v="2024-04-12T00:00:00"/>
    <x v="0"/>
    <x v="3"/>
    <s v="Week2"/>
    <s v="washing of office machine"/>
    <x v="5"/>
    <n v="6000"/>
    <x v="2"/>
    <s v="accountant"/>
    <s v="summary sheet"/>
  </r>
  <r>
    <s v="PCOO66"/>
    <d v="2024-04-15T00:00:00"/>
    <x v="0"/>
    <x v="3"/>
    <s v="Week3"/>
    <s v="weekly marketing"/>
    <x v="2"/>
    <n v="11000"/>
    <x v="0"/>
    <s v="accountant"/>
    <s v="summary sheet"/>
  </r>
  <r>
    <s v="PCOO67"/>
    <d v="2024-04-15T00:00:00"/>
    <x v="0"/>
    <x v="3"/>
    <s v="Week3"/>
    <s v="internet sub PH3"/>
    <x v="7"/>
    <n v="20000"/>
    <x v="0"/>
    <s v="accountant"/>
    <s v="summary sheet"/>
  </r>
  <r>
    <s v="PCOO68"/>
    <d v="2024-04-21T00:00:00"/>
    <x v="0"/>
    <x v="3"/>
    <s v="Week3"/>
    <s v="electicity expenses"/>
    <x v="1"/>
    <n v="1000"/>
    <x v="0"/>
    <s v="accountant"/>
    <s v="summary sheet"/>
  </r>
  <r>
    <s v="PCOO69"/>
    <d v="2024-04-22T00:00:00"/>
    <x v="0"/>
    <x v="3"/>
    <s v="Week4"/>
    <s v="marketing expenses"/>
    <x v="2"/>
    <n v="11000"/>
    <x v="0"/>
    <s v="accountant"/>
    <s v="summary sheet"/>
  </r>
  <r>
    <s v="PCOO70"/>
    <d v="2024-04-23T00:00:00"/>
    <x v="0"/>
    <x v="3"/>
    <s v="Week4"/>
    <s v="transportation of parts"/>
    <x v="4"/>
    <n v="27483"/>
    <x v="1"/>
    <s v="accountant"/>
    <s v="summary sheet"/>
  </r>
  <r>
    <s v="PCOO71"/>
    <d v="2024-04-24T00:00:00"/>
    <x v="0"/>
    <x v="3"/>
    <s v="Week4"/>
    <s v="purchase of c_way water"/>
    <x v="0"/>
    <n v="3450"/>
    <x v="1"/>
    <s v="accountant"/>
    <s v="summary sheet"/>
  </r>
  <r>
    <s v="PCOO72"/>
    <d v="2024-04-26T00:00:00"/>
    <x v="0"/>
    <x v="3"/>
    <s v="Week4"/>
    <s v="out of station allowance"/>
    <x v="2"/>
    <n v="26600"/>
    <x v="0"/>
    <s v="accountant"/>
    <s v="summary sheet"/>
  </r>
  <r>
    <s v="PCOO73"/>
    <d v="2024-04-29T00:00:00"/>
    <x v="0"/>
    <x v="3"/>
    <s v="Week5"/>
    <s v="waste dispoal"/>
    <x v="6"/>
    <n v="7000"/>
    <x v="0"/>
    <s v="accountant"/>
    <s v="summary sheet"/>
  </r>
  <r>
    <s v="PCOO74"/>
    <d v="2024-04-29T00:00:00"/>
    <x v="0"/>
    <x v="3"/>
    <s v="Week5"/>
    <s v="recharge allowance"/>
    <x v="0"/>
    <n v="5000"/>
    <x v="0"/>
    <s v="accountant"/>
    <s v="summary sheet"/>
  </r>
  <r>
    <s v="PCOO75"/>
    <d v="2024-04-29T00:00:00"/>
    <x v="0"/>
    <x v="3"/>
    <s v="Week5"/>
    <s v="electicity expenses"/>
    <x v="1"/>
    <n v="5000"/>
    <x v="0"/>
    <s v="accountant"/>
    <s v="summary sheet"/>
  </r>
  <r>
    <s v="PCOO76"/>
    <d v="2024-04-29T00:00:00"/>
    <x v="0"/>
    <x v="3"/>
    <s v="Week5"/>
    <s v="weekly marketing"/>
    <x v="2"/>
    <n v="11000"/>
    <x v="0"/>
    <s v="accountant"/>
    <s v="summary sheet"/>
  </r>
  <r>
    <s v="PCOO77"/>
    <d v="2024-04-29T00:00:00"/>
    <x v="0"/>
    <x v="3"/>
    <s v="Week5"/>
    <s v="waste dispoal"/>
    <x v="6"/>
    <n v="7000"/>
    <x v="0"/>
    <s v="accountant"/>
    <s v="summary sheet"/>
  </r>
  <r>
    <s v="PCOO78"/>
    <d v="2024-04-29T00:00:00"/>
    <x v="0"/>
    <x v="3"/>
    <s v="Week5"/>
    <s v="recharge allowance"/>
    <x v="0"/>
    <n v="5000"/>
    <x v="0"/>
    <s v="accountant"/>
    <s v="summary sheet"/>
  </r>
  <r>
    <s v="PCOO79"/>
    <d v="2024-04-29T00:00:00"/>
    <x v="0"/>
    <x v="3"/>
    <s v="Week5"/>
    <s v="weekly marketing"/>
    <x v="2"/>
    <n v="11000"/>
    <x v="0"/>
    <s v="accountant"/>
    <s v="summary sheet"/>
  </r>
  <r>
    <s v="PCOO80"/>
    <d v="2024-04-29T00:00:00"/>
    <x v="0"/>
    <x v="3"/>
    <s v="Week5"/>
    <s v="electicity expenses"/>
    <x v="1"/>
    <n v="5000"/>
    <x v="0"/>
    <s v="accountant"/>
    <s v="summary sheet"/>
  </r>
  <r>
    <s v="PCOO81"/>
    <d v="2024-05-02T00:00:00"/>
    <x v="0"/>
    <x v="4"/>
    <s v="Week1"/>
    <s v="internet sub PH 1"/>
    <x v="7"/>
    <n v="18000"/>
    <x v="0"/>
    <s v="accountant"/>
    <s v="summary sheet"/>
  </r>
  <r>
    <s v="PCOO82"/>
    <d v="2024-05-02T00:00:00"/>
    <x v="0"/>
    <x v="4"/>
    <s v="Week1"/>
    <s v="consumables"/>
    <x v="0"/>
    <n v="76030"/>
    <x v="0"/>
    <s v="accountant"/>
    <s v="summary sheet"/>
  </r>
  <r>
    <s v="PCOO83"/>
    <d v="2024-05-06T00:00:00"/>
    <x v="0"/>
    <x v="4"/>
    <s v="Week1"/>
    <s v="marketing expenses"/>
    <x v="2"/>
    <n v="11000"/>
    <x v="0"/>
    <s v="accountant"/>
    <s v="summary sheet"/>
  </r>
  <r>
    <s v="PCOO84"/>
    <d v="2024-05-06T00:00:00"/>
    <x v="0"/>
    <x v="4"/>
    <s v="Week1"/>
    <s v="fixing of office fan"/>
    <x v="5"/>
    <n v="8000"/>
    <x v="2"/>
    <s v="accountant"/>
    <s v="summary sheet"/>
  </r>
  <r>
    <s v="PCOO85"/>
    <d v="2024-05-07T00:00:00"/>
    <x v="0"/>
    <x v="4"/>
    <s v="Week1"/>
    <s v="electicity expenses"/>
    <x v="1"/>
    <n v="2000"/>
    <x v="0"/>
    <s v="accountant"/>
    <s v="summary sheet"/>
  </r>
  <r>
    <s v="PCOO86"/>
    <d v="2024-05-07T00:00:00"/>
    <x v="0"/>
    <x v="4"/>
    <s v="Week1"/>
    <s v="transportation to bonny"/>
    <x v="4"/>
    <n v="90000"/>
    <x v="0"/>
    <s v="accountant"/>
    <s v="summary sheet"/>
  </r>
  <r>
    <s v="PCOO87"/>
    <d v="2024-05-07T00:00:00"/>
    <x v="0"/>
    <x v="4"/>
    <s v="Week1"/>
    <s v="internet sub PH2"/>
    <x v="7"/>
    <n v="20000"/>
    <x v="0"/>
    <s v="accountant"/>
    <s v="summary sheet"/>
  </r>
  <r>
    <s v="PCOO88"/>
    <d v="2024-05-13T00:00:00"/>
    <x v="0"/>
    <x v="4"/>
    <s v="Week2"/>
    <s v="fixing of office tap"/>
    <x v="5"/>
    <n v="8000"/>
    <x v="2"/>
    <s v="accountant"/>
    <s v="summary sheet"/>
  </r>
  <r>
    <s v="PCOO89"/>
    <d v="2024-05-13T00:00:00"/>
    <x v="0"/>
    <x v="4"/>
    <s v="Week2"/>
    <s v="sim_swap for office"/>
    <x v="9"/>
    <n v="2500"/>
    <x v="2"/>
    <s v="accountant"/>
    <s v="summary sheet"/>
  </r>
  <r>
    <s v="PCOO90"/>
    <d v="2024-05-13T00:00:00"/>
    <x v="0"/>
    <x v="4"/>
    <s v="Week2"/>
    <s v="marketing expenses"/>
    <x v="2"/>
    <n v="11000"/>
    <x v="0"/>
    <s v="accountant"/>
    <s v="summary sheet"/>
  </r>
  <r>
    <s v="PCOO91"/>
    <d v="2024-05-14T00:00:00"/>
    <x v="0"/>
    <x v="4"/>
    <s v="Week2"/>
    <s v="delivery of parts"/>
    <x v="4"/>
    <n v="7000"/>
    <x v="0"/>
    <s v="accountant"/>
    <s v="summary sheet"/>
  </r>
  <r>
    <s v="PCOO92"/>
    <d v="2024-05-14T00:00:00"/>
    <x v="0"/>
    <x v="4"/>
    <s v="Week2"/>
    <s v="internet sub PH 3"/>
    <x v="7"/>
    <n v="20000"/>
    <x v="0"/>
    <s v="accountant"/>
    <s v="summary sheet"/>
  </r>
  <r>
    <s v="PCOO93"/>
    <d v="2024-05-15T00:00:00"/>
    <x v="0"/>
    <x v="4"/>
    <s v="Week3"/>
    <s v="business premises fee"/>
    <x v="10"/>
    <n v="5600"/>
    <x v="0"/>
    <s v="accountant"/>
    <s v="summary sheet"/>
  </r>
  <r>
    <s v="PCOO94"/>
    <d v="2024-05-15T00:00:00"/>
    <x v="0"/>
    <x v="4"/>
    <s v="Week3"/>
    <s v="transport to the bank"/>
    <x v="4"/>
    <n v="3000"/>
    <x v="2"/>
    <s v="accountant"/>
    <s v="summary sheet"/>
  </r>
  <r>
    <s v="PCOO95"/>
    <d v="2024-05-17T00:00:00"/>
    <x v="0"/>
    <x v="4"/>
    <s v="Week3"/>
    <s v="purchase of c_way water"/>
    <x v="0"/>
    <n v="4200"/>
    <x v="1"/>
    <s v="accountant"/>
    <s v="summary sheet"/>
  </r>
  <r>
    <s v="PCOO96"/>
    <d v="2024-05-30T00:00:00"/>
    <x v="0"/>
    <x v="4"/>
    <s v="Week5"/>
    <s v="electicity expenses"/>
    <x v="1"/>
    <n v="5000"/>
    <x v="0"/>
    <s v="accountant"/>
    <s v="summary sheet"/>
  </r>
  <r>
    <s v="PCOO97"/>
    <d v="2024-06-10T00:00:00"/>
    <x v="0"/>
    <x v="5"/>
    <s v="Week2"/>
    <s v="marketing expenses"/>
    <x v="2"/>
    <n v="11000"/>
    <x v="0"/>
    <s v="accountant"/>
    <s v="summary sheet"/>
  </r>
  <r>
    <s v="PCOO98"/>
    <d v="2024-06-10T00:00:00"/>
    <x v="0"/>
    <x v="5"/>
    <s v="Week2"/>
    <s v="internet sub PH 1"/>
    <x v="7"/>
    <n v="20000"/>
    <x v="0"/>
    <s v="accountant"/>
    <s v="summary sheet"/>
  </r>
  <r>
    <s v="PCOO99"/>
    <d v="2024-06-11T00:00:00"/>
    <x v="0"/>
    <x v="5"/>
    <s v="Week2"/>
    <s v="cleaning materials for office"/>
    <x v="9"/>
    <n v="4000"/>
    <x v="2"/>
    <s v="accountant"/>
    <s v="summary sheet"/>
  </r>
  <r>
    <s v="PCOO100"/>
    <d v="2024-06-07T00:00:00"/>
    <x v="0"/>
    <x v="5"/>
    <s v="Week1"/>
    <s v="purchase of fuel for gen"/>
    <x v="3"/>
    <n v="22000"/>
    <x v="1"/>
    <s v="accountant"/>
    <s v="summary sheet"/>
  </r>
  <r>
    <s v="PCOO101"/>
    <d v="2024-06-20T00:00:00"/>
    <x v="0"/>
    <x v="5"/>
    <s v="Week3"/>
    <s v="purchase of office supplies"/>
    <x v="8"/>
    <n v="30000"/>
    <x v="1"/>
    <s v="accountant"/>
    <s v="summary sheet"/>
  </r>
  <r>
    <s v="PCOO102"/>
    <d v="2024-05-20T00:00:00"/>
    <x v="0"/>
    <x v="4"/>
    <s v="Week3"/>
    <s v="electicity expenses"/>
    <x v="1"/>
    <n v="4000"/>
    <x v="0"/>
    <s v="accountant"/>
    <s v="summary sheet"/>
  </r>
  <r>
    <s v="PCOO103"/>
    <d v="2024-05-20T00:00:00"/>
    <x v="0"/>
    <x v="4"/>
    <s v="Week3"/>
    <s v="weekly marketing"/>
    <x v="2"/>
    <n v="11000"/>
    <x v="0"/>
    <s v="accountant"/>
    <s v="summary sheet"/>
  </r>
  <r>
    <s v="PCOO104"/>
    <d v="2024-05-24T00:00:00"/>
    <x v="0"/>
    <x v="4"/>
    <s v="Week4"/>
    <s v="transport to the bank"/>
    <x v="4"/>
    <n v="3000"/>
    <x v="2"/>
    <s v="accountant"/>
    <s v="summary sheet"/>
  </r>
  <r>
    <s v="PCOO105"/>
    <d v="2024-05-27T00:00:00"/>
    <x v="0"/>
    <x v="4"/>
    <s v="Week4"/>
    <s v="purchase of fuel for gen"/>
    <x v="3"/>
    <n v="22000"/>
    <x v="0"/>
    <s v="accountant"/>
    <s v="summary sheet"/>
  </r>
  <r>
    <s v="PCOO106"/>
    <d v="2024-05-27T00:00:00"/>
    <x v="0"/>
    <x v="4"/>
    <s v="Week4"/>
    <s v="marketing expenses"/>
    <x v="2"/>
    <n v="11000"/>
    <x v="0"/>
    <s v="accountant"/>
    <s v="summary sheet"/>
  </r>
  <r>
    <s v="PCOO107"/>
    <d v="2024-05-28T00:00:00"/>
    <x v="0"/>
    <x v="4"/>
    <s v="Week4"/>
    <s v="purchase of fuel  for office car"/>
    <x v="3"/>
    <n v="30000"/>
    <x v="0"/>
    <s v="accountant"/>
    <s v="summary sheet"/>
  </r>
  <r>
    <s v="PCOO108"/>
    <d v="2024-05-28T00:00:00"/>
    <x v="0"/>
    <x v="4"/>
    <s v="Week4"/>
    <s v="electicity expenses"/>
    <x v="1"/>
    <n v="2000"/>
    <x v="0"/>
    <s v="accountant"/>
    <s v="summary sheet"/>
  </r>
  <r>
    <s v="PCOO109"/>
    <d v="2024-05-29T00:00:00"/>
    <x v="0"/>
    <x v="4"/>
    <s v="Week5"/>
    <s v="purchase of fuel for car"/>
    <x v="3"/>
    <n v="23000"/>
    <x v="0"/>
    <s v="accountant"/>
    <s v="summary sheet"/>
  </r>
  <r>
    <s v="PCOO110"/>
    <d v="2024-05-29T00:00:00"/>
    <x v="0"/>
    <x v="4"/>
    <s v="Week5"/>
    <s v="purchase of fuel for gen"/>
    <x v="3"/>
    <n v="23000"/>
    <x v="0"/>
    <s v="accountant"/>
    <s v="summary sheet"/>
  </r>
  <r>
    <s v="PCOO111"/>
    <d v="2024-05-31T00:00:00"/>
    <x v="0"/>
    <x v="4"/>
    <s v="Week5"/>
    <s v="recharge allowance"/>
    <x v="0"/>
    <n v="5000"/>
    <x v="0"/>
    <s v="accountant"/>
    <s v="summary sheet"/>
  </r>
  <r>
    <s v="PCOO112"/>
    <d v="2024-05-31T00:00:00"/>
    <x v="0"/>
    <x v="4"/>
    <s v="Week5"/>
    <s v="waste dispoal"/>
    <x v="6"/>
    <n v="7000"/>
    <x v="2"/>
    <s v="accountant"/>
    <s v="summary sheet"/>
  </r>
  <r>
    <s v="PCOO113"/>
    <d v="2024-05-20T00:00:00"/>
    <x v="0"/>
    <x v="4"/>
    <s v="Week3"/>
    <s v="electicity expenses"/>
    <x v="1"/>
    <n v="4000"/>
    <x v="0"/>
    <s v="accountant"/>
    <s v="summary sheet"/>
  </r>
  <r>
    <s v="PCOO114"/>
    <d v="2024-05-20T00:00:00"/>
    <x v="0"/>
    <x v="4"/>
    <s v="Week3"/>
    <s v="weekly marketing"/>
    <x v="2"/>
    <n v="11000"/>
    <x v="0"/>
    <s v="accountant"/>
    <s v="summary sheet"/>
  </r>
  <r>
    <s v="PCOO115"/>
    <d v="2024-05-24T00:00:00"/>
    <x v="0"/>
    <x v="4"/>
    <s v="Week4"/>
    <s v="transport to the bank"/>
    <x v="4"/>
    <n v="3000"/>
    <x v="2"/>
    <s v="accountant"/>
    <s v="summary sheet"/>
  </r>
  <r>
    <s v="PCOO116"/>
    <d v="2024-05-27T00:00:00"/>
    <x v="0"/>
    <x v="4"/>
    <s v="Week4"/>
    <s v="purchase of fuel for gen"/>
    <x v="3"/>
    <n v="22000"/>
    <x v="1"/>
    <s v="accountant"/>
    <s v="summary sheet"/>
  </r>
  <r>
    <s v="PCOO117"/>
    <d v="2024-05-27T00:00:00"/>
    <x v="0"/>
    <x v="4"/>
    <s v="Week4"/>
    <s v="weekly marketing"/>
    <x v="2"/>
    <n v="11000"/>
    <x v="0"/>
    <s v="accountant"/>
    <s v="summary sheet"/>
  </r>
  <r>
    <s v="PCOO118"/>
    <d v="2024-05-28T00:00:00"/>
    <x v="0"/>
    <x v="4"/>
    <s v="Week4"/>
    <s v="purchse of fuel for office car"/>
    <x v="3"/>
    <n v="30000"/>
    <x v="0"/>
    <s v="accountant"/>
    <s v="summary sheet"/>
  </r>
  <r>
    <s v="PCOO119"/>
    <d v="2024-05-28T00:00:00"/>
    <x v="0"/>
    <x v="4"/>
    <s v="Week4"/>
    <s v="electicity expenses"/>
    <x v="1"/>
    <n v="2000"/>
    <x v="0"/>
    <s v="accountant"/>
    <s v="summary sheet"/>
  </r>
  <r>
    <s v="PCOO120"/>
    <d v="2024-05-29T00:00:00"/>
    <x v="0"/>
    <x v="4"/>
    <s v="Week5"/>
    <s v="purchase of fuel for car"/>
    <x v="3"/>
    <n v="18000"/>
    <x v="0"/>
    <s v="accountant"/>
    <s v="summary sheet"/>
  </r>
  <r>
    <s v="PCOO121"/>
    <d v="2024-05-29T00:00:00"/>
    <x v="0"/>
    <x v="4"/>
    <s v="Week5"/>
    <s v="purchase of fuel for gen"/>
    <x v="3"/>
    <n v="23000"/>
    <x v="2"/>
    <s v="accountant"/>
    <s v="summary sheet"/>
  </r>
  <r>
    <s v="PCOO122"/>
    <d v="2024-05-31T00:00:00"/>
    <x v="0"/>
    <x v="4"/>
    <s v="Week5"/>
    <s v="recharge allowance"/>
    <x v="0"/>
    <n v="5000"/>
    <x v="0"/>
    <s v="accountant"/>
    <s v="summary sheet"/>
  </r>
  <r>
    <s v="PCOO123"/>
    <d v="2024-05-31T00:00:00"/>
    <x v="0"/>
    <x v="4"/>
    <s v="Week5"/>
    <s v="waste dispoal"/>
    <x v="6"/>
    <n v="7000"/>
    <x v="2"/>
    <s v="accountant"/>
    <s v="summary sheet"/>
  </r>
  <r>
    <s v="PCOO124"/>
    <d v="2024-05-31T00:00:00"/>
    <x v="0"/>
    <x v="4"/>
    <s v="Week5"/>
    <s v="delivery of parts to onne"/>
    <x v="4"/>
    <n v="25000"/>
    <x v="0"/>
    <s v="accountant"/>
    <s v="summary sheet"/>
  </r>
  <r>
    <s v="PCOO125"/>
    <d v="2024-06-03T00:00:00"/>
    <x v="0"/>
    <x v="5"/>
    <s v="Week1"/>
    <s v="weekly marketing"/>
    <x v="2"/>
    <n v="11000"/>
    <x v="0"/>
    <s v="accountant"/>
    <s v="summary sheet"/>
  </r>
  <r>
    <s v="PCOO126"/>
    <d v="2024-06-03T00:00:00"/>
    <x v="0"/>
    <x v="5"/>
    <s v="Week1"/>
    <s v="consumables"/>
    <x v="0"/>
    <n v="68100"/>
    <x v="1"/>
    <s v="accountant"/>
    <s v="summary sheet"/>
  </r>
  <r>
    <s v="PCOO127"/>
    <d v="2024-06-04T00:00:00"/>
    <x v="0"/>
    <x v="5"/>
    <s v="Week1"/>
    <s v="internet sub PH 1"/>
    <x v="7"/>
    <n v="20000"/>
    <x v="0"/>
    <s v="accountant"/>
    <s v="summary sheet"/>
  </r>
  <r>
    <s v="PCOO128"/>
    <d v="2024-06-04T00:00:00"/>
    <x v="0"/>
    <x v="5"/>
    <s v="Week1"/>
    <s v="internet sub PH 2"/>
    <x v="7"/>
    <n v="20000"/>
    <x v="0"/>
    <s v="accountant"/>
    <s v="summary sheet"/>
  </r>
  <r>
    <s v="PCOO129"/>
    <d v="2024-06-04T00:00:00"/>
    <x v="0"/>
    <x v="5"/>
    <s v="Week1"/>
    <s v="purchase of c_way water"/>
    <x v="0"/>
    <n v="4200"/>
    <x v="1"/>
    <s v="accountant"/>
    <s v="summary sheet"/>
  </r>
  <r>
    <s v="PCOO130"/>
    <d v="2024-06-04T00:00:00"/>
    <x v="0"/>
    <x v="5"/>
    <s v="Week1"/>
    <s v="purchase of new battery"/>
    <x v="8"/>
    <n v="5000"/>
    <x v="0"/>
    <s v="accountant"/>
    <s v="summary sheet"/>
  </r>
  <r>
    <s v="PCOO131"/>
    <d v="2024-06-24T00:00:00"/>
    <x v="0"/>
    <x v="5"/>
    <s v="Week4"/>
    <s v="electicity expenses"/>
    <x v="1"/>
    <n v="7000"/>
    <x v="0"/>
    <s v="accountant"/>
    <s v="summary sheet"/>
  </r>
  <r>
    <s v="PCOO132"/>
    <d v="2024-06-24T00:00:00"/>
    <x v="0"/>
    <x v="5"/>
    <s v="Week4"/>
    <s v="mobile police payment"/>
    <x v="9"/>
    <n v="15000"/>
    <x v="0"/>
    <s v="accountant"/>
    <s v="summary sheet"/>
  </r>
  <r>
    <s v="PCOO133"/>
    <d v="2024-06-24T00:00:00"/>
    <x v="0"/>
    <x v="5"/>
    <s v="Week4"/>
    <s v="purchase of c_way water"/>
    <x v="0"/>
    <n v="3900"/>
    <x v="1"/>
    <s v="accountant"/>
    <s v="summary sheet"/>
  </r>
  <r>
    <s v="PCOO134"/>
    <d v="2024-06-24T00:00:00"/>
    <x v="0"/>
    <x v="5"/>
    <s v="Week4"/>
    <s v="marketing expenses"/>
    <x v="2"/>
    <n v="11000"/>
    <x v="0"/>
    <s v="accountant"/>
    <s v="summary sheet"/>
  </r>
  <r>
    <s v="PCOO135"/>
    <d v="2024-06-25T00:00:00"/>
    <x v="0"/>
    <x v="5"/>
    <s v="Week4"/>
    <s v="purchase of bulbs and padlock"/>
    <x v="8"/>
    <n v="22000"/>
    <x v="0"/>
    <s v="accountant"/>
    <s v="summary sheet"/>
  </r>
  <r>
    <s v="PCOO136"/>
    <d v="2024-06-25T00:00:00"/>
    <x v="0"/>
    <x v="5"/>
    <s v="Week4"/>
    <s v="recharge allowance"/>
    <x v="0"/>
    <n v="5000"/>
    <x v="0"/>
    <s v="accountant"/>
    <s v="summary sheet"/>
  </r>
  <r>
    <s v="PCOO137"/>
    <d v="2024-06-26T00:00:00"/>
    <x v="0"/>
    <x v="5"/>
    <s v="Week4"/>
    <s v="logistic of parts to ebonyi"/>
    <x v="4"/>
    <n v="13500"/>
    <x v="0"/>
    <s v="accountant"/>
    <s v="summary sheet"/>
  </r>
  <r>
    <s v="PCOO138"/>
    <d v="2024-06-27T00:00:00"/>
    <x v="0"/>
    <x v="5"/>
    <s v="Week4"/>
    <s v="waste dispoal"/>
    <x v="6"/>
    <n v="7000"/>
    <x v="2"/>
    <s v="accountant"/>
    <s v="summary sheet"/>
  </r>
  <r>
    <s v="PCOO139"/>
    <d v="2024-06-28T00:00:00"/>
    <x v="0"/>
    <x v="5"/>
    <s v="Week4"/>
    <s v="marketing expenses to anambra"/>
    <x v="2"/>
    <n v="64000"/>
    <x v="0"/>
    <s v="accountant"/>
    <s v="summary sheet"/>
  </r>
  <r>
    <s v="PCOO140"/>
    <d v="2024-07-01T00:00:00"/>
    <x v="0"/>
    <x v="6"/>
    <s v="Week1"/>
    <s v="purchase of fuel for office car"/>
    <x v="3"/>
    <n v="30000"/>
    <x v="0"/>
    <s v="accountant"/>
    <s v="summary sheet"/>
  </r>
  <r>
    <s v="PCOO141"/>
    <d v="2024-07-01T00:00:00"/>
    <x v="0"/>
    <x v="6"/>
    <s v="Week1"/>
    <s v="consumables"/>
    <x v="0"/>
    <n v="72470"/>
    <x v="1"/>
    <s v="accountant"/>
    <s v="summary sheet"/>
  </r>
  <r>
    <s v="PCOO142"/>
    <d v="2024-07-02T00:00:00"/>
    <x v="0"/>
    <x v="6"/>
    <s v="Week1"/>
    <s v="purchase of fuel for gen"/>
    <x v="3"/>
    <n v="22000"/>
    <x v="0"/>
    <s v="accountant"/>
    <s v="summary sheet"/>
  </r>
  <r>
    <s v="PCOO143"/>
    <d v="2024-07-02T00:00:00"/>
    <x v="0"/>
    <x v="6"/>
    <s v="Week1"/>
    <s v="purchase of fuel for car"/>
    <x v="3"/>
    <n v="18000"/>
    <x v="0"/>
    <s v="accountant"/>
    <s v="summary sheet"/>
  </r>
  <r>
    <s v="PCOO144"/>
    <d v="2024-07-04T00:00:00"/>
    <x v="0"/>
    <x v="6"/>
    <s v="Week1"/>
    <s v="internet sub  PH 1"/>
    <x v="7"/>
    <n v="18000"/>
    <x v="0"/>
    <s v="accountant"/>
    <s v="summary sheet"/>
  </r>
  <r>
    <s v="PCOO145"/>
    <d v="2024-07-04T00:00:00"/>
    <x v="0"/>
    <x v="6"/>
    <s v="Week1"/>
    <s v="internet sub  PH 2"/>
    <x v="7"/>
    <n v="20000"/>
    <x v="0"/>
    <s v="accountant"/>
    <s v="summary sheet"/>
  </r>
  <r>
    <s v="PCOO146"/>
    <d v="2024-07-08T00:00:00"/>
    <x v="0"/>
    <x v="6"/>
    <s v="Week2"/>
    <s v="weekly marketing"/>
    <x v="2"/>
    <n v="11000"/>
    <x v="0"/>
    <s v="accountant"/>
    <s v="summary sheet"/>
  </r>
  <r>
    <s v="PCOO147"/>
    <d v="2024-07-09T00:00:00"/>
    <x v="0"/>
    <x v="6"/>
    <s v="Week2"/>
    <s v="Internet sub PH 3"/>
    <x v="7"/>
    <n v="20000"/>
    <x v="0"/>
    <s v="accountant"/>
    <s v="summary sheet"/>
  </r>
  <r>
    <s v="PCOO148"/>
    <d v="2024-07-05T00:00:00"/>
    <x v="0"/>
    <x v="6"/>
    <s v="Week1"/>
    <s v="electicity expenses"/>
    <x v="1"/>
    <n v="2000"/>
    <x v="0"/>
    <s v="accountant"/>
    <s v="summary sheet"/>
  </r>
  <r>
    <s v="PCOO149"/>
    <d v="2024-07-05T00:00:00"/>
    <x v="0"/>
    <x v="6"/>
    <s v="Week1"/>
    <s v="recharge allowance"/>
    <x v="0"/>
    <n v="5000"/>
    <x v="0"/>
    <s v="accountant"/>
    <s v="summary sheet"/>
  </r>
  <r>
    <s v="PCOO150"/>
    <d v="2024-07-15T00:00:00"/>
    <x v="0"/>
    <x v="6"/>
    <s v="Week3"/>
    <s v="purchase of wall sockect"/>
    <x v="8"/>
    <n v="4000"/>
    <x v="2"/>
    <s v="accountant"/>
    <s v="summary sheet"/>
  </r>
  <r>
    <s v="PCOO151"/>
    <d v="2024-07-15T00:00:00"/>
    <x v="0"/>
    <x v="6"/>
    <s v="Week3"/>
    <s v="weekly marketing"/>
    <x v="2"/>
    <n v="11000"/>
    <x v="0"/>
    <s v="accountant"/>
    <s v="summary sheet"/>
  </r>
  <r>
    <s v="PCOO152"/>
    <d v="2024-07-16T00:00:00"/>
    <x v="0"/>
    <x v="6"/>
    <s v="Week3"/>
    <s v="purchase of fuel for gen"/>
    <x v="3"/>
    <n v="20000"/>
    <x v="1"/>
    <s v="accountant"/>
    <s v="summary sheet"/>
  </r>
  <r>
    <s v="PCOO153"/>
    <d v="2024-07-16T00:00:00"/>
    <x v="0"/>
    <x v="6"/>
    <s v="Week3"/>
    <s v="purchase of c_way water"/>
    <x v="0"/>
    <n v="3900"/>
    <x v="0"/>
    <s v="accountant"/>
    <s v="summary sheet"/>
  </r>
  <r>
    <s v="PCOO154"/>
    <d v="2024-07-17T00:00:00"/>
    <x v="0"/>
    <x v="6"/>
    <s v="Week3"/>
    <s v="purchase of fuel for car"/>
    <x v="3"/>
    <n v="19000"/>
    <x v="0"/>
    <s v="accountant"/>
    <s v="summary sheet"/>
  </r>
  <r>
    <s v="PCOO155"/>
    <d v="2024-07-18T00:00:00"/>
    <x v="0"/>
    <x v="6"/>
    <s v="Week3"/>
    <s v="purchase of fuel for office car"/>
    <x v="3"/>
    <n v="22000"/>
    <x v="0"/>
    <s v="accountant"/>
    <s v="summary sheet"/>
  </r>
  <r>
    <s v="PCOO156"/>
    <d v="2024-07-19T00:00:00"/>
    <x v="0"/>
    <x v="6"/>
    <s v="Week3"/>
    <s v="purchase of fuel for gen"/>
    <x v="3"/>
    <n v="15000"/>
    <x v="0"/>
    <s v="accountant"/>
    <s v="summary sheet"/>
  </r>
  <r>
    <s v="PCOO157"/>
    <d v="2024-07-18T00:00:00"/>
    <x v="0"/>
    <x v="6"/>
    <s v="Week3"/>
    <s v="electicity expenses"/>
    <x v="1"/>
    <n v="2000"/>
    <x v="0"/>
    <s v="accountant"/>
    <s v="summary sheet"/>
  </r>
  <r>
    <s v="PCOO158"/>
    <d v="2024-07-22T00:00:00"/>
    <x v="0"/>
    <x v="6"/>
    <s v="Week3"/>
    <s v="purchase of fuel for gen"/>
    <x v="3"/>
    <n v="25000"/>
    <x v="1"/>
    <s v="accountant"/>
    <s v="summary sheet"/>
  </r>
  <r>
    <s v="PCOO159"/>
    <d v="2024-07-22T00:00:00"/>
    <x v="0"/>
    <x v="6"/>
    <s v="Week4"/>
    <s v="marketing expenses"/>
    <x v="2"/>
    <n v="11000"/>
    <x v="0"/>
    <s v="accountant"/>
    <s v="summary sheet"/>
  </r>
  <r>
    <s v="PCOO160"/>
    <d v="2024-07-24T00:00:00"/>
    <x v="0"/>
    <x v="6"/>
    <s v="Week4"/>
    <s v="purchase of fuel for car"/>
    <x v="3"/>
    <n v="20000"/>
    <x v="1"/>
    <s v="accountant"/>
    <s v="summary sheet"/>
  </r>
  <r>
    <s v="PCOO161"/>
    <d v="2024-07-24T00:00:00"/>
    <x v="0"/>
    <x v="6"/>
    <s v="Week4"/>
    <s v="purchase of fuel for office car"/>
    <x v="3"/>
    <n v="22000"/>
    <x v="1"/>
    <s v="accountant"/>
    <s v="summary sheet"/>
  </r>
  <r>
    <s v="PCOO162"/>
    <d v="2024-07-25T00:00:00"/>
    <x v="0"/>
    <x v="6"/>
    <s v="Week4"/>
    <s v="recharge allowance"/>
    <x v="0"/>
    <n v="5000"/>
    <x v="0"/>
    <s v="accountant"/>
    <s v="summary sheet"/>
  </r>
  <r>
    <s v="PCOO163"/>
    <d v="2024-07-25T00:00:00"/>
    <x v="0"/>
    <x v="6"/>
    <s v="Week4"/>
    <s v="purchase of fuel for gen"/>
    <x v="3"/>
    <n v="18000"/>
    <x v="1"/>
    <s v="accountant"/>
    <s v="summary sheet"/>
  </r>
  <r>
    <s v="PCOO164"/>
    <d v="2024-07-29T00:00:00"/>
    <x v="0"/>
    <x v="6"/>
    <s v="Week4"/>
    <s v="purchase of fuel for gen"/>
    <x v="3"/>
    <n v="25000"/>
    <x v="0"/>
    <s v="accountant"/>
    <s v="summary sheet"/>
  </r>
  <r>
    <s v="PCOO165"/>
    <d v="2024-07-29T00:00:00"/>
    <x v="0"/>
    <x v="6"/>
    <s v="Week5"/>
    <s v="marketing expenses"/>
    <x v="2"/>
    <n v="11000"/>
    <x v="0"/>
    <s v="accountant"/>
    <s v="summary sheet"/>
  </r>
  <r>
    <s v="PCOO166"/>
    <d v="2024-07-30T00:00:00"/>
    <x v="0"/>
    <x v="6"/>
    <s v="Week5"/>
    <s v="purchase of fuel for office car"/>
    <x v="3"/>
    <n v="25000"/>
    <x v="0"/>
    <s v="accountant"/>
    <s v="summary sheet"/>
  </r>
  <r>
    <s v="PCOO167"/>
    <d v="2024-07-30T00:00:00"/>
    <x v="0"/>
    <x v="6"/>
    <s v="Week5"/>
    <s v="servicing of office vechile"/>
    <x v="5"/>
    <n v="66000"/>
    <x v="0"/>
    <s v="accountant"/>
    <s v="summary sheet"/>
  </r>
  <r>
    <s v="PCOO168"/>
    <d v="2024-07-31T00:00:00"/>
    <x v="0"/>
    <x v="6"/>
    <s v="Week5"/>
    <s v="waste dispoal"/>
    <x v="6"/>
    <n v="7000"/>
    <x v="2"/>
    <s v="accountant"/>
    <s v="summary sheet"/>
  </r>
  <r>
    <s v="PCOO169"/>
    <d v="2024-07-31T00:00:00"/>
    <x v="0"/>
    <x v="6"/>
    <s v="Week5"/>
    <s v="purchase of fuel for gen"/>
    <x v="3"/>
    <n v="18000"/>
    <x v="0"/>
    <s v="accountant"/>
    <s v="summary sheet"/>
  </r>
  <r>
    <s v="PCOO170"/>
    <d v="2024-07-31T00:00:00"/>
    <x v="0"/>
    <x v="6"/>
    <s v="Week5"/>
    <s v="purchase of fuel for  car"/>
    <x v="3"/>
    <n v="20000"/>
    <x v="0"/>
    <s v="accountant"/>
    <s v="summary sheet"/>
  </r>
  <r>
    <s v="PCOO171"/>
    <d v="2024-08-01T00:00:00"/>
    <x v="0"/>
    <x v="7"/>
    <s v="Week1"/>
    <s v="electicity expenses"/>
    <x v="1"/>
    <n v="8000"/>
    <x v="0"/>
    <s v="accountant"/>
    <s v="summary sheet"/>
  </r>
  <r>
    <s v="PCOO172"/>
    <d v="2024-07-31T00:00:00"/>
    <x v="0"/>
    <x v="6"/>
    <s v="Week5"/>
    <s v="logistic of laptop to lagos"/>
    <x v="4"/>
    <n v="17360"/>
    <x v="1"/>
    <s v="accountant"/>
    <s v="summary sheet"/>
  </r>
  <r>
    <s v="PCOO173"/>
    <d v="2024-08-05T00:00:00"/>
    <x v="0"/>
    <x v="7"/>
    <s v="Week1"/>
    <s v="internet sub  PH1"/>
    <x v="7"/>
    <n v="20000"/>
    <x v="0"/>
    <s v="accountant"/>
    <s v="summary sheet"/>
  </r>
  <r>
    <s v="PCOO174"/>
    <d v="2024-08-05T00:00:00"/>
    <x v="0"/>
    <x v="7"/>
    <s v="Week1"/>
    <s v="internet sub  PH 2"/>
    <x v="7"/>
    <n v="18000"/>
    <x v="0"/>
    <s v="accountant"/>
    <s v="summary sheet"/>
  </r>
  <r>
    <s v="PCOO175"/>
    <d v="2024-08-06T00:00:00"/>
    <x v="0"/>
    <x v="7"/>
    <s v="Week1"/>
    <s v="recharge allowance"/>
    <x v="0"/>
    <n v="5000"/>
    <x v="0"/>
    <s v="accountant"/>
    <s v="summary sheet"/>
  </r>
  <r>
    <s v="PCOO176"/>
    <d v="2024-08-02T00:00:00"/>
    <x v="0"/>
    <x v="7"/>
    <s v="Week1"/>
    <s v="consumables"/>
    <x v="0"/>
    <n v="78770"/>
    <x v="1"/>
    <s v="accountant"/>
    <s v="summary sheet"/>
  </r>
  <r>
    <s v="PCOO177"/>
    <d v="2024-08-12T00:00:00"/>
    <x v="0"/>
    <x v="7"/>
    <s v="Week2"/>
    <s v="marketing expenses"/>
    <x v="2"/>
    <n v="11000"/>
    <x v="0"/>
    <s v="accountant"/>
    <s v="summary sheet"/>
  </r>
  <r>
    <s v="PCOO178"/>
    <d v="2024-08-12T00:00:00"/>
    <x v="0"/>
    <x v="7"/>
    <s v="Week2"/>
    <s v="purchase of fuel office car"/>
    <x v="3"/>
    <n v="25000"/>
    <x v="0"/>
    <s v="accountant"/>
    <s v="summary sheet"/>
  </r>
  <r>
    <s v="PCOO179"/>
    <d v="2024-08-14T00:00:00"/>
    <x v="0"/>
    <x v="7"/>
    <s v="Week2"/>
    <s v="purchase of fuel for  car"/>
    <x v="3"/>
    <n v="20000"/>
    <x v="0"/>
    <s v="accountant"/>
    <s v="summary sheet"/>
  </r>
  <r>
    <s v="PCOO180"/>
    <d v="2024-08-12T00:00:00"/>
    <x v="0"/>
    <x v="7"/>
    <s v="Week2"/>
    <s v="internet sub  PH3"/>
    <x v="7"/>
    <n v="20000"/>
    <x v="0"/>
    <s v="accountant"/>
    <s v="summary sheet"/>
  </r>
  <r>
    <s v="PCOO181"/>
    <d v="2024-08-12T00:00:00"/>
    <x v="0"/>
    <x v="7"/>
    <s v="Week2"/>
    <s v="purchase of fuel for gen"/>
    <x v="3"/>
    <n v="25000"/>
    <x v="1"/>
    <s v="accountant"/>
    <s v="summary sheet"/>
  </r>
  <r>
    <s v="PCOO182"/>
    <d v="2024-08-14T00:00:00"/>
    <x v="0"/>
    <x v="7"/>
    <s v="Week2"/>
    <s v="purchase of fuel for gen"/>
    <x v="3"/>
    <n v="18000"/>
    <x v="0"/>
    <s v="accountant"/>
    <s v="summary sheet"/>
  </r>
  <r>
    <s v="PCOO183"/>
    <d v="2024-08-16T00:00:00"/>
    <x v="0"/>
    <x v="7"/>
    <s v="Week3"/>
    <s v="electicity expenses"/>
    <x v="1"/>
    <n v="1000"/>
    <x v="0"/>
    <s v="accountant"/>
    <s v="summary sheet"/>
  </r>
  <r>
    <s v="PCOO184"/>
    <d v="2024-08-18T00:00:00"/>
    <x v="0"/>
    <x v="7"/>
    <s v="Week3"/>
    <s v="electicity expenses"/>
    <x v="1"/>
    <n v="2000"/>
    <x v="0"/>
    <s v="accountant"/>
    <s v="summary sheet"/>
  </r>
  <r>
    <s v="PCOO185"/>
    <d v="2024-08-19T00:00:00"/>
    <x v="0"/>
    <x v="7"/>
    <s v="Week3"/>
    <s v="purchase of fuel office car"/>
    <x v="3"/>
    <n v="25000"/>
    <x v="0"/>
    <s v="accountant"/>
    <s v="summary sheet"/>
  </r>
  <r>
    <s v="PCOO186"/>
    <d v="2024-08-19T00:00:00"/>
    <x v="0"/>
    <x v="7"/>
    <s v="Week3"/>
    <s v="weekly marketing"/>
    <x v="2"/>
    <n v="11000"/>
    <x v="0"/>
    <s v="accountant"/>
    <s v="summary sheet"/>
  </r>
  <r>
    <s v="PCOO187"/>
    <d v="2024-08-21T00:00:00"/>
    <x v="0"/>
    <x v="7"/>
    <s v="Week3"/>
    <s v="transport to onne to dangote"/>
    <x v="4"/>
    <n v="20000"/>
    <x v="0"/>
    <s v="accountant"/>
    <s v="summary sheet"/>
  </r>
  <r>
    <s v="PCOO188"/>
    <d v="2024-08-21T00:00:00"/>
    <x v="0"/>
    <x v="7"/>
    <s v="Week3"/>
    <s v="servicing of office machine"/>
    <x v="5"/>
    <n v="19000"/>
    <x v="2"/>
    <s v="accountant"/>
    <s v="summary sheet"/>
  </r>
  <r>
    <s v="PCOO189"/>
    <d v="2024-08-22T00:00:00"/>
    <x v="0"/>
    <x v="7"/>
    <s v="Week4"/>
    <s v="purchase of fuel office car"/>
    <x v="3"/>
    <n v="18000"/>
    <x v="0"/>
    <s v="accountant"/>
    <s v="summary sheet"/>
  </r>
  <r>
    <s v="PCOO190"/>
    <d v="2024-08-26T00:00:00"/>
    <x v="0"/>
    <x v="7"/>
    <s v="Week4"/>
    <s v="logistic of parts to calabar"/>
    <x v="4"/>
    <n v="4500"/>
    <x v="2"/>
    <s v="accountant"/>
    <s v="summary sheet"/>
  </r>
  <r>
    <s v="PCOO191"/>
    <d v="2024-08-26T00:00:00"/>
    <x v="0"/>
    <x v="7"/>
    <s v="Week4"/>
    <s v="flight ticket"/>
    <x v="4"/>
    <n v="2500"/>
    <x v="2"/>
    <s v="accountant"/>
    <s v="summary sheet"/>
  </r>
  <r>
    <s v="PCOO192"/>
    <d v="2024-08-26T00:00:00"/>
    <x v="0"/>
    <x v="7"/>
    <s v="Week4"/>
    <s v="purchase of fuel for gen"/>
    <x v="3"/>
    <n v="25000"/>
    <x v="0"/>
    <s v="accountant"/>
    <s v="summary sheet"/>
  </r>
  <r>
    <s v="PCOO193"/>
    <d v="2024-08-26T00:00:00"/>
    <x v="0"/>
    <x v="7"/>
    <s v="Week4"/>
    <s v="marketing expenses"/>
    <x v="2"/>
    <n v="11000"/>
    <x v="0"/>
    <s v="accountant"/>
    <s v="summary sheet"/>
  </r>
  <r>
    <s v="PCOO194"/>
    <d v="2024-08-27T00:00:00"/>
    <x v="0"/>
    <x v="7"/>
    <s v="Week4"/>
    <s v="transport to atuo  to pick office car"/>
    <x v="4"/>
    <n v="2000"/>
    <x v="2"/>
    <s v="accountant"/>
    <s v="summary sheet"/>
  </r>
  <r>
    <s v="PCOO195"/>
    <d v="2024-08-28T00:00:00"/>
    <x v="0"/>
    <x v="7"/>
    <s v="Week4"/>
    <s v="purchase of fuel  car"/>
    <x v="3"/>
    <n v="20000"/>
    <x v="0"/>
    <s v="accountant"/>
    <s v="summary sheet"/>
  </r>
  <r>
    <s v="PCOO196"/>
    <d v="2024-08-29T00:00:00"/>
    <x v="0"/>
    <x v="7"/>
    <s v="Week5"/>
    <s v="waste dispoal"/>
    <x v="6"/>
    <n v="7000"/>
    <x v="2"/>
    <s v="accountant"/>
    <s v="summary sheet"/>
  </r>
  <r>
    <s v="PCOO197"/>
    <d v="2024-08-29T00:00:00"/>
    <x v="0"/>
    <x v="7"/>
    <s v="Week5"/>
    <s v="purchase of fuel for gen"/>
    <x v="3"/>
    <n v="22000"/>
    <x v="0"/>
    <s v="accountant"/>
    <s v="summary sheet"/>
  </r>
  <r>
    <s v="PCOO198"/>
    <d v="2024-08-29T00:00:00"/>
    <x v="0"/>
    <x v="7"/>
    <s v="Week5"/>
    <s v="purchase of fuel office car"/>
    <x v="3"/>
    <n v="21000"/>
    <x v="2"/>
    <s v="accountant"/>
    <s v="summary sheet"/>
  </r>
  <r>
    <s v="PCOO199"/>
    <d v="2024-08-03T00:00:00"/>
    <x v="0"/>
    <x v="7"/>
    <s v="Week1"/>
    <s v="electicity expenses"/>
    <x v="1"/>
    <n v="5000"/>
    <x v="0"/>
    <s v="accountant"/>
    <s v="summary sheet"/>
  </r>
  <r>
    <s v="PCOO200"/>
    <d v="2024-09-01T00:00:00"/>
    <x v="0"/>
    <x v="8"/>
    <s v="Week1"/>
    <s v="electicity expenses"/>
    <x v="1"/>
    <n v="3000"/>
    <x v="0"/>
    <s v="accountant"/>
    <s v="summary sheet"/>
  </r>
  <r>
    <s v="PCOO201"/>
    <d v="2024-09-03T00:00:00"/>
    <x v="0"/>
    <x v="8"/>
    <s v="Week1"/>
    <s v="consumables"/>
    <x v="0"/>
    <n v="76170"/>
    <x v="1"/>
    <s v="accountant"/>
    <s v="summary sheet"/>
  </r>
  <r>
    <s v="PCOO202"/>
    <d v="2024-09-02T00:00:00"/>
    <x v="0"/>
    <x v="8"/>
    <s v="Week1"/>
    <s v="purchase of fuel for gen"/>
    <x v="3"/>
    <n v="26000"/>
    <x v="0"/>
    <s v="accountant"/>
    <s v="summary sheet"/>
  </r>
  <r>
    <s v="PCOO203"/>
    <d v="2024-09-02T00:00:00"/>
    <x v="0"/>
    <x v="8"/>
    <s v="Week1"/>
    <s v="fixing of office chair"/>
    <x v="5"/>
    <n v="5500"/>
    <x v="2"/>
    <s v="accountant"/>
    <s v="summary sheet"/>
  </r>
  <r>
    <s v="PCOO204"/>
    <d v="2024-09-02T00:00:00"/>
    <x v="0"/>
    <x v="8"/>
    <s v="Week1"/>
    <s v="purchase of fuel office car"/>
    <x v="3"/>
    <n v="25000"/>
    <x v="0"/>
    <s v="accountant"/>
    <s v="summary sheet"/>
  </r>
  <r>
    <s v="PCOO205"/>
    <d v="2024-09-02T00:00:00"/>
    <x v="0"/>
    <x v="8"/>
    <s v="Week1"/>
    <s v="internet sub PH 1"/>
    <x v="7"/>
    <n v="20000"/>
    <x v="0"/>
    <s v="accountant"/>
    <s v="summary sheet"/>
  </r>
  <r>
    <s v="PCOO206"/>
    <d v="2024-09-02T00:00:00"/>
    <x v="0"/>
    <x v="8"/>
    <s v="Week1"/>
    <s v="marketing expenses"/>
    <x v="2"/>
    <n v="11000"/>
    <x v="0"/>
    <s v="accountant"/>
    <s v="summary sheet"/>
  </r>
  <r>
    <s v="PCOO207"/>
    <d v="2024-09-02T00:00:00"/>
    <x v="0"/>
    <x v="8"/>
    <s v="Week1"/>
    <s v="recharge allowance"/>
    <x v="0"/>
    <n v="5000"/>
    <x v="0"/>
    <s v="accountant"/>
    <s v="summary sheet"/>
  </r>
  <r>
    <s v="PCOO208"/>
    <d v="2024-09-03T00:00:00"/>
    <x v="0"/>
    <x v="8"/>
    <s v="Week1"/>
    <s v="logistic  to pick parts to &amp;fro"/>
    <x v="4"/>
    <n v="12000"/>
    <x v="0"/>
    <s v="accountant"/>
    <s v="summary sheet"/>
  </r>
  <r>
    <s v="PCOO209"/>
    <d v="2024-09-03T00:00:00"/>
    <x v="0"/>
    <x v="8"/>
    <s v="Week1"/>
    <s v="purchase of padlock"/>
    <x v="9"/>
    <n v="3500"/>
    <x v="2"/>
    <s v="accountant"/>
    <s v="summary sheet"/>
  </r>
  <r>
    <s v="PCOO210"/>
    <d v="2024-09-04T00:00:00"/>
    <x v="0"/>
    <x v="8"/>
    <s v="Week1"/>
    <s v="delivery of parts to fdgh"/>
    <x v="4"/>
    <n v="10000"/>
    <x v="0"/>
    <s v="accountant"/>
    <s v="summary sheet"/>
  </r>
  <r>
    <s v="PCOO211"/>
    <d v="2024-09-04T00:00:00"/>
    <x v="0"/>
    <x v="8"/>
    <s v="Week1"/>
    <s v="purchase of fuel  car"/>
    <x v="3"/>
    <n v="22000"/>
    <x v="0"/>
    <s v="accountant"/>
    <s v="summary sheet"/>
  </r>
  <r>
    <s v="PCOO212"/>
    <d v="2024-09-05T00:00:00"/>
    <x v="0"/>
    <x v="8"/>
    <s v="Week1"/>
    <s v="purchase of fuel office car"/>
    <x v="3"/>
    <n v="25000"/>
    <x v="0"/>
    <s v="accountant"/>
    <s v="summary sheet"/>
  </r>
  <r>
    <s v="PCOO213"/>
    <d v="2024-09-05T00:00:00"/>
    <x v="0"/>
    <x v="8"/>
    <s v="Week1"/>
    <s v="purchase of fuel for gen"/>
    <x v="3"/>
    <n v="25000"/>
    <x v="0"/>
    <s v="accountant"/>
    <s v="summary sheet"/>
  </r>
  <r>
    <s v="PCOO214"/>
    <d v="2024-09-06T00:00:00"/>
    <x v="0"/>
    <x v="8"/>
    <s v="Week1"/>
    <s v="bank charges on transaction"/>
    <x v="9"/>
    <n v="3000"/>
    <x v="0"/>
    <s v="accountant"/>
    <s v="summary sheet"/>
  </r>
  <r>
    <s v="PCOO215"/>
    <d v="2024-09-09T00:00:00"/>
    <x v="0"/>
    <x v="8"/>
    <s v="Week2"/>
    <s v="purchase of fuel office car"/>
    <x v="3"/>
    <n v="25000"/>
    <x v="1"/>
    <s v="accountant"/>
    <s v="summary sheet"/>
  </r>
  <r>
    <s v="PCOO216"/>
    <d v="2024-09-09T00:00:00"/>
    <x v="0"/>
    <x v="8"/>
    <s v="Week2"/>
    <s v="internet sub PH 2"/>
    <x v="7"/>
    <n v="20000"/>
    <x v="0"/>
    <s v="accountant"/>
    <s v="summary sheet"/>
  </r>
  <r>
    <s v="PCOO217"/>
    <d v="2024-09-09T00:00:00"/>
    <x v="0"/>
    <x v="8"/>
    <s v="Week2"/>
    <s v="internet sub PH 3"/>
    <x v="7"/>
    <n v="20000"/>
    <x v="0"/>
    <s v="accountant"/>
    <s v="summary sheet"/>
  </r>
  <r>
    <s v="PCOO218"/>
    <d v="2024-09-09T00:00:00"/>
    <x v="0"/>
    <x v="8"/>
    <s v="Week2"/>
    <s v="marketing expenses"/>
    <x v="2"/>
    <n v="11000"/>
    <x v="0"/>
    <s v="accountant"/>
    <s v="summary sheet"/>
  </r>
  <r>
    <s v="PCOO219"/>
    <d v="2024-09-11T00:00:00"/>
    <x v="0"/>
    <x v="8"/>
    <s v="Week2"/>
    <s v="purchase of fuel  car"/>
    <x v="3"/>
    <n v="22000"/>
    <x v="0"/>
    <s v="accountant"/>
    <s v="summary sheet"/>
  </r>
  <r>
    <s v="PCOO220"/>
    <d v="2024-09-11T00:00:00"/>
    <x v="0"/>
    <x v="8"/>
    <s v="Week2"/>
    <s v="purchase of fuel for gen"/>
    <x v="3"/>
    <n v="35000"/>
    <x v="1"/>
    <s v="accountant"/>
    <s v="summary sheet"/>
  </r>
  <r>
    <s v="PCOO221"/>
    <d v="2024-09-11T00:00:00"/>
    <x v="0"/>
    <x v="8"/>
    <s v="Week2"/>
    <s v="electicity expenses"/>
    <x v="1"/>
    <n v="3000"/>
    <x v="0"/>
    <s v="accountant"/>
    <s v="summary sheet"/>
  </r>
  <r>
    <s v="PCOO222"/>
    <d v="2024-09-11T00:00:00"/>
    <x v="0"/>
    <x v="8"/>
    <s v="Week2"/>
    <s v="electicity expenses"/>
    <x v="1"/>
    <n v="3000"/>
    <x v="0"/>
    <s v="accountant"/>
    <s v="summary sheet"/>
  </r>
  <r>
    <s v="PCOO223"/>
    <d v="2024-09-13T00:00:00"/>
    <x v="0"/>
    <x v="8"/>
    <s v="Week2"/>
    <s v="purchase of fuel office car"/>
    <x v="3"/>
    <n v="27000"/>
    <x v="1"/>
    <s v="accountant"/>
    <s v="summary sheet"/>
  </r>
  <r>
    <s v="PCOO224"/>
    <d v="2024-09-09T00:00:00"/>
    <x v="0"/>
    <x v="8"/>
    <s v="Week2"/>
    <s v="purchase of fuel for gen"/>
    <x v="3"/>
    <n v="30000"/>
    <x v="0"/>
    <s v="accountant"/>
    <s v="summary sheet"/>
  </r>
  <r>
    <s v="PCOO225"/>
    <d v="2024-09-13T00:00:00"/>
    <x v="0"/>
    <x v="8"/>
    <s v="Week2"/>
    <s v="fumigation"/>
    <x v="5"/>
    <n v="25000"/>
    <x v="0"/>
    <s v="accountant"/>
    <s v="summary sheet"/>
  </r>
  <r>
    <s v="PCOO226"/>
    <d v="2024-09-09T00:00:00"/>
    <x v="0"/>
    <x v="8"/>
    <s v="Week2"/>
    <s v="recharge allowance"/>
    <x v="0"/>
    <n v="5000"/>
    <x v="0"/>
    <s v="accountant"/>
    <s v="summary sheet"/>
  </r>
  <r>
    <s v="PCOO227"/>
    <d v="2024-09-17T00:00:00"/>
    <x v="0"/>
    <x v="8"/>
    <s v="Week3"/>
    <s v="purchase of fuel for gen"/>
    <x v="3"/>
    <n v="30000"/>
    <x v="1"/>
    <s v="accountant"/>
    <s v="summary sheet"/>
  </r>
  <r>
    <s v="PCOO228"/>
    <d v="2024-09-19T00:00:00"/>
    <x v="0"/>
    <x v="8"/>
    <s v="Week3"/>
    <s v="purchase of fuel for gen"/>
    <x v="3"/>
    <n v="30000"/>
    <x v="1"/>
    <s v="accountant"/>
    <s v="summary sheet"/>
  </r>
  <r>
    <s v="PCOO229"/>
    <d v="2024-09-17T00:00:00"/>
    <x v="0"/>
    <x v="8"/>
    <s v="Week3"/>
    <s v="marketing expenses"/>
    <x v="2"/>
    <n v="11000"/>
    <x v="0"/>
    <s v="accountant"/>
    <s v="summary sheet"/>
  </r>
  <r>
    <s v="PCOO230"/>
    <d v="2024-09-17T00:00:00"/>
    <x v="0"/>
    <x v="8"/>
    <s v="Week3"/>
    <s v="purchase of fuel office car"/>
    <x v="3"/>
    <n v="27000"/>
    <x v="0"/>
    <s v="accountant"/>
    <s v="summary sheet"/>
  </r>
  <r>
    <s v="PCOO231"/>
    <d v="2024-09-19T00:00:00"/>
    <x v="0"/>
    <x v="8"/>
    <s v="Week3"/>
    <s v="logistics of parts to &amp;fro"/>
    <x v="4"/>
    <n v="20000"/>
    <x v="0"/>
    <s v="accountant"/>
    <s v="summary sheet"/>
  </r>
  <r>
    <s v="PCOO232"/>
    <d v="2024-09-19T00:00:00"/>
    <x v="0"/>
    <x v="8"/>
    <s v="Week3"/>
    <s v="repair of office car"/>
    <x v="5"/>
    <n v="65000"/>
    <x v="0"/>
    <s v="accountant"/>
    <s v="summary sheet"/>
  </r>
  <r>
    <s v="PCOO233"/>
    <d v="2024-09-20T00:00:00"/>
    <x v="0"/>
    <x v="8"/>
    <s v="Week3"/>
    <s v="purchase of fuel office car"/>
    <x v="3"/>
    <n v="22000"/>
    <x v="0"/>
    <s v="accountant"/>
    <s v="summary sheet"/>
  </r>
  <r>
    <s v="PCOO234"/>
    <d v="2024-09-24T00:00:00"/>
    <x v="0"/>
    <x v="8"/>
    <s v="Week4"/>
    <s v="travel expenses"/>
    <x v="2"/>
    <n v="64000"/>
    <x v="0"/>
    <s v="accountant"/>
    <s v="summary sheet"/>
  </r>
  <r>
    <s v="PCOO235"/>
    <d v="2024-09-23T00:00:00"/>
    <x v="0"/>
    <x v="8"/>
    <s v="Week4"/>
    <s v="purchase of fuel for gen"/>
    <x v="3"/>
    <n v="35000"/>
    <x v="0"/>
    <s v="accountant"/>
    <s v="summary sheet"/>
  </r>
  <r>
    <s v="PCOO236"/>
    <d v="2024-09-24T00:00:00"/>
    <x v="0"/>
    <x v="8"/>
    <s v="Week4"/>
    <s v="purchase of fuel office car"/>
    <x v="3"/>
    <n v="25000"/>
    <x v="0"/>
    <s v="accountant"/>
    <s v="summary sheet"/>
  </r>
  <r>
    <s v="PCOO237"/>
    <d v="2024-09-24T00:00:00"/>
    <x v="0"/>
    <x v="8"/>
    <s v="Week4"/>
    <s v="purchase of c_way water"/>
    <x v="0"/>
    <n v="3900"/>
    <x v="1"/>
    <s v="accountant"/>
    <s v="summary sheet"/>
  </r>
  <r>
    <s v="PCOO238"/>
    <d v="2024-09-25T00:00:00"/>
    <x v="0"/>
    <x v="8"/>
    <s v="Week4"/>
    <s v="purchase of office stationery"/>
    <x v="8"/>
    <n v="37700"/>
    <x v="1"/>
    <s v="accountant"/>
    <s v="summary sheet"/>
  </r>
  <r>
    <s v="PCOO239"/>
    <d v="2024-09-26T00:00:00"/>
    <x v="0"/>
    <x v="8"/>
    <s v="Week4"/>
    <s v="purchase of fuel for gen"/>
    <x v="3"/>
    <n v="27000"/>
    <x v="0"/>
    <s v="accountant"/>
    <s v="summary sheet"/>
  </r>
  <r>
    <s v="PCOO240"/>
    <d v="2024-09-26T00:00:00"/>
    <x v="0"/>
    <x v="8"/>
    <s v="Week4"/>
    <s v="recharge allowance"/>
    <x v="0"/>
    <n v="5000"/>
    <x v="0"/>
    <s v="accountant"/>
    <s v="summary sheet"/>
  </r>
  <r>
    <s v="PCOO241"/>
    <d v="2024-09-26T00:00:00"/>
    <x v="0"/>
    <x v="8"/>
    <s v="Week4"/>
    <s v="electicity expenses"/>
    <x v="1"/>
    <n v="5000"/>
    <x v="0"/>
    <s v="accountant"/>
    <s v="summary sheet"/>
  </r>
  <r>
    <s v="PCOO242"/>
    <d v="2024-09-27T00:00:00"/>
    <x v="0"/>
    <x v="8"/>
    <s v="Week4"/>
    <s v="waste dispoal"/>
    <x v="6"/>
    <n v="7000"/>
    <x v="2"/>
    <s v="accountant"/>
    <s v="summary sheet"/>
  </r>
  <r>
    <s v="PCOO243"/>
    <d v="2024-09-30T00:00:00"/>
    <x v="0"/>
    <x v="8"/>
    <s v="Week5"/>
    <s v="electicity expenses"/>
    <x v="1"/>
    <n v="8000"/>
    <x v="0"/>
    <s v="accountant"/>
    <s v="summary sheet"/>
  </r>
  <r>
    <s v="PCOO244"/>
    <d v="2024-09-30T00:00:00"/>
    <x v="0"/>
    <x v="8"/>
    <s v="Week5"/>
    <s v="purchase of fuel for gen"/>
    <x v="3"/>
    <n v="35000"/>
    <x v="0"/>
    <s v="accountant"/>
    <s v="summary sheet"/>
  </r>
  <r>
    <s v="PCOO245"/>
    <d v="2024-10-02T00:00:00"/>
    <x v="0"/>
    <x v="9"/>
    <s v="Week1"/>
    <s v="purchase of fuel office car"/>
    <x v="3"/>
    <n v="25000"/>
    <x v="0"/>
    <s v="accountant"/>
    <s v="summary sheet"/>
  </r>
  <r>
    <s v="PCOO246"/>
    <d v="2024-09-30T00:00:00"/>
    <x v="0"/>
    <x v="8"/>
    <s v="Week5"/>
    <s v="purchase of fuel  car"/>
    <x v="3"/>
    <n v="24000"/>
    <x v="0"/>
    <s v="accountant"/>
    <s v="summary sheet"/>
  </r>
  <r>
    <s v="PCOO247"/>
    <d v="2024-10-03T00:00:00"/>
    <x v="0"/>
    <x v="9"/>
    <s v="Week1"/>
    <s v="purchase of fuel for gen"/>
    <x v="3"/>
    <n v="20000"/>
    <x v="1"/>
    <s v="accountant"/>
    <s v="summary sheet"/>
  </r>
  <r>
    <s v="PCOO248"/>
    <d v="2024-10-03T00:00:00"/>
    <x v="0"/>
    <x v="9"/>
    <s v="Week1"/>
    <s v="internet sub PH 1"/>
    <x v="7"/>
    <n v="20000"/>
    <x v="0"/>
    <s v="accountant"/>
    <s v="summary sheet"/>
  </r>
  <r>
    <s v="PCOO249"/>
    <d v="2024-10-03T00:00:00"/>
    <x v="0"/>
    <x v="9"/>
    <s v="Week1"/>
    <s v="consumables"/>
    <x v="0"/>
    <n v="86630"/>
    <x v="1"/>
    <s v="accountant"/>
    <s v="summary sheet"/>
  </r>
  <r>
    <s v="PCOO250"/>
    <d v="2024-10-04T00:00:00"/>
    <x v="0"/>
    <x v="9"/>
    <s v="Week1"/>
    <s v="purchase of fuel  office car"/>
    <x v="3"/>
    <n v="22000"/>
    <x v="0"/>
    <s v="accountant"/>
    <s v="summary sheet"/>
  </r>
  <r>
    <s v="PCOO251"/>
    <d v="2024-10-06T00:00:00"/>
    <x v="0"/>
    <x v="9"/>
    <s v="Week1"/>
    <s v="electicity expenses"/>
    <x v="1"/>
    <n v="3000"/>
    <x v="0"/>
    <s v="accountant"/>
    <s v="summary sheet"/>
  </r>
  <r>
    <s v="PCOO252"/>
    <d v="2024-09-30T00:00:00"/>
    <x v="0"/>
    <x v="8"/>
    <s v="Week5"/>
    <s v="marketing expenses"/>
    <x v="2"/>
    <n v="11000"/>
    <x v="0"/>
    <s v="accountant"/>
    <s v="summary sheet"/>
  </r>
  <r>
    <s v="PCOO253"/>
    <d v="2024-10-06T00:00:00"/>
    <x v="0"/>
    <x v="9"/>
    <s v="Week1"/>
    <s v="marketing expenses"/>
    <x v="2"/>
    <n v="11000"/>
    <x v="0"/>
    <s v="accountant"/>
    <s v="summary sheet"/>
  </r>
  <r>
    <s v="PCOO254"/>
    <d v="2024-10-07T00:00:00"/>
    <x v="0"/>
    <x v="9"/>
    <s v="Week1"/>
    <s v="internet sub PH 2"/>
    <x v="7"/>
    <n v="20000"/>
    <x v="0"/>
    <s v="accountant"/>
    <s v="summary sheet"/>
  </r>
  <r>
    <s v="PCOO255"/>
    <d v="2024-10-11T00:00:00"/>
    <x v="0"/>
    <x v="9"/>
    <s v="Week2"/>
    <s v="purchase of towel for the office"/>
    <x v="9"/>
    <n v="7000"/>
    <x v="0"/>
    <s v="accountant"/>
    <s v="summary sheet"/>
  </r>
  <r>
    <s v="PCOO256"/>
    <d v="2024-10-08T00:00:00"/>
    <x v="0"/>
    <x v="9"/>
    <s v="Week2"/>
    <s v="transportation of parts to &amp; fro"/>
    <x v="4"/>
    <n v="7000"/>
    <x v="0"/>
    <s v="accountant"/>
    <s v="summary sheet"/>
  </r>
  <r>
    <s v="PCOO257"/>
    <d v="2024-10-09T00:00:00"/>
    <x v="0"/>
    <x v="9"/>
    <s v="Week2"/>
    <s v="internet sub PH 3"/>
    <x v="7"/>
    <n v="20000"/>
    <x v="0"/>
    <s v="accountant"/>
    <s v="summary sheet"/>
  </r>
  <r>
    <s v="PCOO258"/>
    <d v="2024-10-14T00:00:00"/>
    <x v="0"/>
    <x v="9"/>
    <s v="Week2"/>
    <s v="electicity expenses"/>
    <x v="1"/>
    <n v="2000"/>
    <x v="0"/>
    <s v="accountant"/>
    <s v="summary sheet"/>
  </r>
  <r>
    <s v="PCOO259"/>
    <d v="2024-10-14T00:00:00"/>
    <x v="0"/>
    <x v="9"/>
    <s v="Week2"/>
    <s v="purchase of fuel for gen"/>
    <x v="3"/>
    <n v="25000"/>
    <x v="0"/>
    <s v="accountant"/>
    <s v="summary sheet"/>
  </r>
  <r>
    <s v="PCOO260"/>
    <d v="2024-10-14T00:00:00"/>
    <x v="0"/>
    <x v="9"/>
    <s v="Week2"/>
    <s v="marketing expenses"/>
    <x v="2"/>
    <n v="11000"/>
    <x v="0"/>
    <s v="accountant"/>
    <s v="summary sheet"/>
  </r>
  <r>
    <s v="PCOO261"/>
    <d v="2024-10-15T00:00:00"/>
    <x v="0"/>
    <x v="9"/>
    <s v="Week3"/>
    <s v="transport to the bank"/>
    <x v="4"/>
    <n v="3000"/>
    <x v="2"/>
    <s v="accountant"/>
    <s v="summary sheet"/>
  </r>
  <r>
    <s v="PCOO262"/>
    <d v="2024-10-17T00:00:00"/>
    <x v="0"/>
    <x v="9"/>
    <s v="Week3"/>
    <s v="purchase of fuel  car"/>
    <x v="3"/>
    <n v="24000"/>
    <x v="1"/>
    <s v="accountant"/>
    <s v="summary sheet"/>
  </r>
  <r>
    <s v="PCOO263"/>
    <d v="2024-10-17T00:00:00"/>
    <x v="0"/>
    <x v="9"/>
    <s v="Week3"/>
    <s v="purchase of fuel for gen"/>
    <x v="3"/>
    <n v="35000"/>
    <x v="0"/>
    <s v="accountant"/>
    <s v="summary sheet"/>
  </r>
  <r>
    <s v="PCOO264"/>
    <d v="2024-10-18T00:00:00"/>
    <x v="0"/>
    <x v="9"/>
    <s v="Week3"/>
    <s v="delivery of parts to fdgh bori"/>
    <x v="4"/>
    <n v="6000"/>
    <x v="0"/>
    <s v="accountant"/>
    <s v="summary sheet"/>
  </r>
  <r>
    <s v="PCOO265"/>
    <d v="2024-10-14T00:00:00"/>
    <x v="0"/>
    <x v="9"/>
    <s v="Week2"/>
    <s v="recharge allowance"/>
    <x v="0"/>
    <n v="5000"/>
    <x v="0"/>
    <s v="accountant"/>
    <s v="summary sheet"/>
  </r>
  <r>
    <s v="PCOO266"/>
    <d v="2024-10-21T00:00:00"/>
    <x v="0"/>
    <x v="9"/>
    <s v="Week3"/>
    <s v="purchase of fuel  car"/>
    <x v="3"/>
    <n v="25000"/>
    <x v="0"/>
    <s v="accountant"/>
    <s v="summary sheet"/>
  </r>
  <r>
    <s v="PCOO267"/>
    <d v="2024-10-21T00:00:00"/>
    <x v="0"/>
    <x v="9"/>
    <s v="Week3"/>
    <s v="marketing expenses"/>
    <x v="2"/>
    <n v="11000"/>
    <x v="0"/>
    <s v="accountant"/>
    <s v="summary sheet"/>
  </r>
  <r>
    <s v="PCOO268"/>
    <d v="2024-10-21T00:00:00"/>
    <x v="0"/>
    <x v="9"/>
    <s v="Week3"/>
    <s v="purchase of fuel for gen"/>
    <x v="3"/>
    <n v="35000"/>
    <x v="0"/>
    <s v="accountant"/>
    <s v="summary sheet"/>
  </r>
  <r>
    <s v="PCOO269"/>
    <d v="2024-10-23T00:00:00"/>
    <x v="0"/>
    <x v="9"/>
    <s v="Week4"/>
    <s v="transportation of parts to &amp; fro onne"/>
    <x v="4"/>
    <n v="7000"/>
    <x v="0"/>
    <s v="accountant"/>
    <s v="summary sheet"/>
  </r>
  <r>
    <s v="PCOO270"/>
    <d v="2024-10-24T00:00:00"/>
    <x v="0"/>
    <x v="9"/>
    <s v="Week4"/>
    <s v="purchase of fuel for gen"/>
    <x v="3"/>
    <n v="25000"/>
    <x v="0"/>
    <s v="accountant"/>
    <s v="summary sheet"/>
  </r>
  <r>
    <s v="PCOO271"/>
    <d v="2024-10-28T00:00:00"/>
    <x v="0"/>
    <x v="9"/>
    <s v="Week4"/>
    <s v="purchase of fuel for gen"/>
    <x v="3"/>
    <n v="35000"/>
    <x v="1"/>
    <s v="accountant"/>
    <s v="summary sheet"/>
  </r>
  <r>
    <s v="PCOO272"/>
    <d v="2024-10-28T00:00:00"/>
    <x v="0"/>
    <x v="9"/>
    <s v="Week4"/>
    <s v="recharge allowance"/>
    <x v="0"/>
    <n v="5000"/>
    <x v="0"/>
    <s v="accountant"/>
    <s v="summary sheet"/>
  </r>
  <r>
    <s v="PCOO273"/>
    <d v="2024-10-29T00:00:00"/>
    <x v="0"/>
    <x v="9"/>
    <s v="Week5"/>
    <s v="purchase of fuel  car"/>
    <x v="3"/>
    <n v="25000"/>
    <x v="0"/>
    <s v="accountant"/>
    <s v="summary sheet"/>
  </r>
  <r>
    <s v="PCOO274"/>
    <d v="2024-10-29T00:00:00"/>
    <x v="0"/>
    <x v="9"/>
    <s v="Week5"/>
    <s v="marketing expenses"/>
    <x v="2"/>
    <n v="11000"/>
    <x v="0"/>
    <s v="accountant"/>
    <s v="summary sheet"/>
  </r>
  <r>
    <s v="PCOO275"/>
    <d v="2024-10-30T00:00:00"/>
    <x v="0"/>
    <x v="9"/>
    <s v="Week5"/>
    <s v="electicity expenses"/>
    <x v="1"/>
    <n v="2000"/>
    <x v="0"/>
    <s v="accountant"/>
    <s v="summary sheet"/>
  </r>
  <r>
    <s v="PCOO276"/>
    <d v="2024-10-30T00:00:00"/>
    <x v="0"/>
    <x v="9"/>
    <s v="Week5"/>
    <s v="waste dispoal"/>
    <x v="6"/>
    <n v="7000"/>
    <x v="0"/>
    <s v="accountant"/>
    <s v="summary sheet"/>
  </r>
  <r>
    <s v="PCOO277"/>
    <d v="2024-10-31T00:00:00"/>
    <x v="0"/>
    <x v="9"/>
    <s v="Week5"/>
    <s v="purchase of fuel  office car"/>
    <x v="3"/>
    <n v="28000"/>
    <x v="0"/>
    <s v="accountant"/>
    <s v="summary sheet"/>
  </r>
  <r>
    <s v="PCOO278"/>
    <d v="2024-10-31T00:00:00"/>
    <x v="0"/>
    <x v="9"/>
    <s v="Week5"/>
    <s v="purchase of fuel for gen"/>
    <x v="3"/>
    <n v="25000"/>
    <x v="0"/>
    <s v="accountant"/>
    <s v="summary sheet"/>
  </r>
  <r>
    <s v="PCOO279"/>
    <d v="2024-10-30T00:00:00"/>
    <x v="0"/>
    <x v="9"/>
    <s v="Week5"/>
    <s v="transportation of parts to &amp; fro onne"/>
    <x v="4"/>
    <n v="7000"/>
    <x v="0"/>
    <s v="accountant"/>
    <s v="summary sheet"/>
  </r>
  <r>
    <s v="PCOO280"/>
    <d v="2024-10-30T00:00:00"/>
    <x v="0"/>
    <x v="9"/>
    <s v="Week5"/>
    <s v="purchase of c_way water"/>
    <x v="0"/>
    <n v="4300"/>
    <x v="1"/>
    <s v="accountant"/>
    <s v="summary sheet"/>
  </r>
  <r>
    <s v="PCOO281"/>
    <d v="2024-11-04T00:00:00"/>
    <x v="0"/>
    <x v="10"/>
    <s v="Week1"/>
    <s v="marketing expenses"/>
    <x v="2"/>
    <n v="11000"/>
    <x v="0"/>
    <s v="accountant"/>
    <s v="summary sheet"/>
  </r>
  <r>
    <s v="PCOO282"/>
    <d v="2024-11-04T00:00:00"/>
    <x v="0"/>
    <x v="10"/>
    <s v="Week1"/>
    <s v="consumables"/>
    <x v="0"/>
    <n v="77920"/>
    <x v="0"/>
    <s v="accountant"/>
    <s v="summary sheet"/>
  </r>
  <r>
    <s v="PCOO283"/>
    <d v="2024-11-04T00:00:00"/>
    <x v="0"/>
    <x v="10"/>
    <s v="Week1"/>
    <s v="purchase of fuel  office car"/>
    <x v="3"/>
    <n v="29000"/>
    <x v="0"/>
    <s v="accountant"/>
    <s v="summary sheet"/>
  </r>
  <r>
    <s v="PCOO284"/>
    <d v="2024-11-05T00:00:00"/>
    <x v="0"/>
    <x v="10"/>
    <s v="Week1"/>
    <s v="electicity expenses"/>
    <x v="1"/>
    <n v="3000"/>
    <x v="0"/>
    <s v="accountant"/>
    <s v="summary sheet"/>
  </r>
  <r>
    <s v="PCOO285"/>
    <d v="2024-11-05T00:00:00"/>
    <x v="0"/>
    <x v="10"/>
    <s v="Week1"/>
    <s v="electicity expenses"/>
    <x v="1"/>
    <n v="5000"/>
    <x v="0"/>
    <s v="accountant"/>
    <s v="summary sheet"/>
  </r>
  <r>
    <s v="PCOO286"/>
    <d v="2024-11-06T00:00:00"/>
    <x v="0"/>
    <x v="10"/>
    <s v="Week1"/>
    <s v="internet sub PH 1"/>
    <x v="7"/>
    <n v="20000"/>
    <x v="0"/>
    <s v="accountant"/>
    <s v="summary sheet"/>
  </r>
  <r>
    <s v="PCOO287"/>
    <d v="2024-11-08T00:00:00"/>
    <x v="0"/>
    <x v="10"/>
    <s v="Week2"/>
    <s v="internet sub PH 2"/>
    <x v="7"/>
    <n v="20000"/>
    <x v="0"/>
    <s v="accountant"/>
    <s v="summary sheet"/>
  </r>
  <r>
    <s v="PCOO288"/>
    <d v="2024-11-08T00:00:00"/>
    <x v="0"/>
    <x v="10"/>
    <s v="Week2"/>
    <s v="washing of office tank"/>
    <x v="9"/>
    <n v="10000"/>
    <x v="2"/>
    <s v="accountant"/>
    <s v="summary sheet"/>
  </r>
  <r>
    <s v="PCOO289"/>
    <d v="2024-11-07T00:00:00"/>
    <x v="0"/>
    <x v="10"/>
    <s v="Week1"/>
    <s v="purchase of padlock for entrance"/>
    <x v="9"/>
    <n v="7000"/>
    <x v="0"/>
    <s v="accountant"/>
    <s v="summary sheet"/>
  </r>
  <r>
    <s v="PCOO290"/>
    <d v="2024-11-19T00:00:00"/>
    <x v="0"/>
    <x v="10"/>
    <s v="Week3"/>
    <s v="transport to atuo  office"/>
    <x v="4"/>
    <n v="2500"/>
    <x v="0"/>
    <s v="accountant"/>
    <s v="summary sheet"/>
  </r>
  <r>
    <s v="PCOO291"/>
    <d v="2024-11-19T00:00:00"/>
    <x v="0"/>
    <x v="10"/>
    <s v="Week3"/>
    <s v="marketing expenses"/>
    <x v="2"/>
    <n v="10000"/>
    <x v="0"/>
    <s v="accountant"/>
    <s v="summary sheet"/>
  </r>
  <r>
    <s v="PCOO292"/>
    <d v="2024-11-20T00:00:00"/>
    <x v="0"/>
    <x v="10"/>
    <s v="Week3"/>
    <s v="purchase of c_way water"/>
    <x v="0"/>
    <n v="4500"/>
    <x v="1"/>
    <s v="accountant"/>
    <s v="summary sheet"/>
  </r>
  <r>
    <s v="PCOO293"/>
    <d v="2024-11-21T00:00:00"/>
    <x v="0"/>
    <x v="10"/>
    <s v="Week3"/>
    <s v="delivery of parts to &amp;fro"/>
    <x v="4"/>
    <n v="6000"/>
    <x v="0"/>
    <s v="accountant"/>
    <s v="summary sheet"/>
  </r>
  <r>
    <s v="PCOO294"/>
    <d v="2024-11-25T00:00:00"/>
    <x v="0"/>
    <x v="10"/>
    <s v="Week4"/>
    <s v="marketing expenses"/>
    <x v="2"/>
    <n v="11000"/>
    <x v="0"/>
    <s v="accountant"/>
    <s v="summary sheet"/>
  </r>
  <r>
    <s v="PCOO295"/>
    <d v="2024-11-27T00:00:00"/>
    <x v="0"/>
    <x v="10"/>
    <s v="Week4"/>
    <s v="electicity expenses"/>
    <x v="1"/>
    <n v="3000"/>
    <x v="0"/>
    <s v="accountant"/>
    <s v="summary sheet"/>
  </r>
  <r>
    <s v="PCOO296"/>
    <d v="2024-11-28T00:00:00"/>
    <x v="0"/>
    <x v="10"/>
    <s v="Week4"/>
    <s v="recharge allowance"/>
    <x v="0"/>
    <n v="5000"/>
    <x v="0"/>
    <s v="accountant"/>
    <s v="summary sheet"/>
  </r>
  <r>
    <s v="PCOO297"/>
    <d v="2024-11-29T00:00:00"/>
    <x v="0"/>
    <x v="10"/>
    <s v="Week5"/>
    <s v="waste dispoal"/>
    <x v="6"/>
    <n v="7000"/>
    <x v="2"/>
    <s v="accountant"/>
    <s v="summary sheet"/>
  </r>
  <r>
    <s v="PCOO298"/>
    <d v="2024-11-29T00:00:00"/>
    <x v="0"/>
    <x v="10"/>
    <s v="Week5"/>
    <s v="fumigation"/>
    <x v="5"/>
    <n v="30000"/>
    <x v="0"/>
    <s v="accountant"/>
    <s v="summary sheet"/>
  </r>
  <r>
    <s v="PCOO299"/>
    <d v="2024-11-25T00:00:00"/>
    <x v="0"/>
    <x v="10"/>
    <s v="Week4"/>
    <s v="purchase of fuel for gen"/>
    <x v="3"/>
    <n v="35000"/>
    <x v="1"/>
    <s v="accountant"/>
    <s v="summary sheet"/>
  </r>
  <r>
    <s v="PCOO300"/>
    <d v="2024-11-28T00:00:00"/>
    <x v="0"/>
    <x v="10"/>
    <s v="Week4"/>
    <s v="purchase of fuel for gen"/>
    <x v="3"/>
    <n v="20000"/>
    <x v="1"/>
    <s v="accountant"/>
    <s v="summary sheet"/>
  </r>
  <r>
    <s v="PCOO301"/>
    <d v="2024-12-02T00:00:00"/>
    <x v="0"/>
    <x v="11"/>
    <s v="Week1"/>
    <s v="internet sub PH 2"/>
    <x v="7"/>
    <n v="20000"/>
    <x v="0"/>
    <s v="accountant"/>
    <s v="summary sheet"/>
  </r>
  <r>
    <s v="PCOO302"/>
    <d v="2024-12-02T00:00:00"/>
    <x v="0"/>
    <x v="11"/>
    <s v="Week1"/>
    <s v="consumables"/>
    <x v="0"/>
    <n v="103330"/>
    <x v="1"/>
    <s v="accountant"/>
    <s v="summary sheet"/>
  </r>
  <r>
    <s v="PCOO303"/>
    <d v="2024-12-02T00:00:00"/>
    <x v="0"/>
    <x v="11"/>
    <s v="Week1"/>
    <s v="purchase of extension &amp;battery"/>
    <x v="8"/>
    <n v="9730"/>
    <x v="1"/>
    <s v="accountant"/>
    <s v="summary sheet"/>
  </r>
  <r>
    <s v="PCOO304"/>
    <d v="2024-12-02T00:00:00"/>
    <x v="0"/>
    <x v="11"/>
    <s v="Week1"/>
    <s v="repair of office cug phone"/>
    <x v="5"/>
    <n v="5000"/>
    <x v="2"/>
    <s v="accountant"/>
    <s v="summary sheet"/>
  </r>
  <r>
    <s v="PCOO305"/>
    <d v="2024-12-02T00:00:00"/>
    <x v="0"/>
    <x v="11"/>
    <s v="Week1"/>
    <s v="electicity expenses"/>
    <x v="1"/>
    <n v="5000"/>
    <x v="0"/>
    <s v="accountant"/>
    <s v="summary sheet"/>
  </r>
  <r>
    <s v="PCOO306"/>
    <d v="2024-12-03T00:00:00"/>
    <x v="0"/>
    <x v="11"/>
    <s v="Week1"/>
    <s v="internet sub PH 1"/>
    <x v="7"/>
    <n v="20000"/>
    <x v="0"/>
    <s v="accountant"/>
    <s v="summary sheet"/>
  </r>
  <r>
    <s v="PCOO307"/>
    <d v="2024-12-04T00:00:00"/>
    <x v="0"/>
    <x v="11"/>
    <s v="Week1"/>
    <s v="transport to&amp; fro of parts to bori"/>
    <x v="4"/>
    <n v="6000"/>
    <x v="0"/>
    <s v="accountant"/>
    <s v="summary sheet"/>
  </r>
  <r>
    <s v="PCOO308"/>
    <d v="2024-12-04T00:00:00"/>
    <x v="0"/>
    <x v="11"/>
    <s v="Week1"/>
    <s v="transport expenses of external auditors"/>
    <x v="9"/>
    <n v="16000"/>
    <x v="2"/>
    <s v="accountant"/>
    <s v="summary sheet"/>
  </r>
  <r>
    <s v="PCOO309"/>
    <d v="2024-11-11T00:00:00"/>
    <x v="0"/>
    <x v="10"/>
    <s v="Week2"/>
    <s v="marketing expenses"/>
    <x v="2"/>
    <n v="11000"/>
    <x v="0"/>
    <s v="accountant"/>
    <s v="summary sheet"/>
  </r>
  <r>
    <s v="PCOO310"/>
    <d v="2024-11-13T00:00:00"/>
    <x v="0"/>
    <x v="10"/>
    <s v="Week2"/>
    <s v="transport to&amp; fro of parts to bori"/>
    <x v="4"/>
    <n v="10000"/>
    <x v="2"/>
    <s v="accountant"/>
    <s v="summary sheet"/>
  </r>
  <r>
    <s v="PCOO311"/>
    <d v="2024-11-14T00:00:00"/>
    <x v="0"/>
    <x v="10"/>
    <s v="Week2"/>
    <s v="transport to&amp; fro of parts to bori"/>
    <x v="4"/>
    <n v="8000"/>
    <x v="2"/>
    <s v="accountant"/>
    <s v="summary sheet"/>
  </r>
  <r>
    <s v="PCOO312"/>
    <d v="2024-11-14T00:00:00"/>
    <x v="0"/>
    <x v="10"/>
    <s v="Week2"/>
    <s v="purchase of plug  for office grn"/>
    <x v="5"/>
    <n v="4000"/>
    <x v="2"/>
    <s v="accountant"/>
    <s v="summary sheet"/>
  </r>
  <r>
    <s v="PCOO313"/>
    <d v="2024-11-15T00:00:00"/>
    <x v="0"/>
    <x v="10"/>
    <s v="Week3"/>
    <s v="travel expenses"/>
    <x v="2"/>
    <n v="64000"/>
    <x v="0"/>
    <s v="accountant"/>
    <s v="summary sheet"/>
  </r>
  <r>
    <s v="PCOO314"/>
    <d v="2024-11-17T00:00:00"/>
    <x v="0"/>
    <x v="10"/>
    <s v="Week3"/>
    <s v="electicity expenses"/>
    <x v="1"/>
    <n v="3000"/>
    <x v="0"/>
    <s v="accountant"/>
    <s v="summary sheet"/>
  </r>
  <r>
    <s v="PCOO315"/>
    <d v="2024-11-11T00:00:00"/>
    <x v="0"/>
    <x v="10"/>
    <s v="Week2"/>
    <s v="internet sub PH 3"/>
    <x v="7"/>
    <n v="20000"/>
    <x v="0"/>
    <s v="accountant"/>
    <s v="summary sheet"/>
  </r>
  <r>
    <s v="PCOO316"/>
    <d v="2024-12-03T00:00:00"/>
    <x v="0"/>
    <x v="11"/>
    <s v="Week1"/>
    <s v="marketing expenses"/>
    <x v="2"/>
    <n v="11000"/>
    <x v="0"/>
    <s v="accountant"/>
    <s v="summary sheet"/>
  </r>
  <r>
    <s v="PCOO317"/>
    <d v="2024-12-06T00:00:00"/>
    <x v="0"/>
    <x v="11"/>
    <s v="Week1"/>
    <s v="travel expenses"/>
    <x v="2"/>
    <n v="100000"/>
    <x v="0"/>
    <s v="accountant"/>
    <s v="summary sheet"/>
  </r>
  <r>
    <s v="PCOO318"/>
    <d v="2024-12-07T00:00:00"/>
    <x v="0"/>
    <x v="11"/>
    <s v="Week1"/>
    <s v="marketing team lunch"/>
    <x v="9"/>
    <n v="11250"/>
    <x v="1"/>
    <s v="accountant"/>
    <s v="summary sheet"/>
  </r>
  <r>
    <s v="PCOO319"/>
    <d v="2024-12-09T00:00:00"/>
    <x v="0"/>
    <x v="11"/>
    <s v="Week2"/>
    <s v="purchase of c_way water"/>
    <x v="0"/>
    <n v="4500"/>
    <x v="1"/>
    <s v="accountant"/>
    <s v="summary sheet"/>
  </r>
  <r>
    <s v="PCOO320"/>
    <d v="2024-12-09T00:00:00"/>
    <x v="0"/>
    <x v="11"/>
    <s v="Week2"/>
    <s v="internet sub PH 3"/>
    <x v="7"/>
    <n v="20000"/>
    <x v="0"/>
    <s v="accountant"/>
    <s v="summary sheet"/>
  </r>
  <r>
    <s v="PCOO321"/>
    <d v="2024-12-09T00:00:00"/>
    <x v="0"/>
    <x v="11"/>
    <s v="Week2"/>
    <s v="marketing expenses"/>
    <x v="2"/>
    <n v="11000"/>
    <x v="0"/>
    <s v="accountant"/>
    <s v="summary sheet"/>
  </r>
  <r>
    <s v="PCOO322"/>
    <d v="2024-12-11T00:00:00"/>
    <x v="0"/>
    <x v="11"/>
    <s v="Week2"/>
    <s v="servicing of office gen"/>
    <x v="5"/>
    <n v="8500"/>
    <x v="2"/>
    <s v="accountant"/>
    <s v="summary sheet"/>
  </r>
  <r>
    <s v="PCOO323"/>
    <d v="2024-12-11T00:00:00"/>
    <x v="0"/>
    <x v="11"/>
    <s v="Week2"/>
    <s v="recharge allowance"/>
    <x v="0"/>
    <n v="5000"/>
    <x v="0"/>
    <s v="accountant"/>
    <s v="summary sheet"/>
  </r>
  <r>
    <s v="PCOO324"/>
    <d v="2024-12-12T00:00:00"/>
    <x v="0"/>
    <x v="11"/>
    <s v="Week2"/>
    <s v="electicity expenses"/>
    <x v="1"/>
    <n v="3000"/>
    <x v="0"/>
    <s v="accountant"/>
    <s v="summary sheet"/>
  </r>
  <r>
    <s v="PCOO325"/>
    <d v="2024-12-17T00:00:00"/>
    <x v="0"/>
    <x v="11"/>
    <s v="Week3"/>
    <s v="washing of office machine"/>
    <x v="5"/>
    <n v="5000"/>
    <x v="2"/>
    <s v="accountant"/>
    <s v="summary sheet"/>
  </r>
  <r>
    <s v="PCOO326"/>
    <d v="2024-12-19T00:00:00"/>
    <x v="0"/>
    <x v="11"/>
    <s v="Week3"/>
    <s v="purchase of cleaning material"/>
    <x v="5"/>
    <n v="8000"/>
    <x v="2"/>
    <s v="accountant"/>
    <s v="summary sheet"/>
  </r>
  <r>
    <s v="PCOO327"/>
    <d v="2024-12-20T00:00:00"/>
    <x v="0"/>
    <x v="11"/>
    <s v="Week3"/>
    <s v="transport to&amp; fro of parts to bori"/>
    <x v="4"/>
    <n v="7000"/>
    <x v="0"/>
    <s v="accountant"/>
    <s v="summary sheet"/>
  </r>
  <r>
    <s v="PCOO328"/>
    <d v="2024-12-20T00:00:00"/>
    <x v="0"/>
    <x v="11"/>
    <s v="Week3"/>
    <s v="waste dispoal"/>
    <x v="6"/>
    <n v="7000"/>
    <x v="2"/>
    <s v="accountant"/>
    <s v="summary sheet"/>
  </r>
  <r>
    <s v="PCOO329"/>
    <d v="2024-12-21T00:00:00"/>
    <x v="0"/>
    <x v="11"/>
    <s v="Week3"/>
    <s v="electicity expenses"/>
    <x v="1"/>
    <n v="3000"/>
    <x v="0"/>
    <s v="accountant"/>
    <s v="summary sheet"/>
  </r>
  <r>
    <s v="PCOO330"/>
    <d v="2024-12-23T00:00:00"/>
    <x v="0"/>
    <x v="11"/>
    <s v="Week4"/>
    <s v="recharge allowance"/>
    <x v="0"/>
    <n v="5000"/>
    <x v="0"/>
    <s v="accountant"/>
    <s v="summary sheet"/>
  </r>
  <r>
    <s v="PCOO331"/>
    <d v="2024-12-24T00:00:00"/>
    <x v="0"/>
    <x v="11"/>
    <s v="Week4"/>
    <s v="purchase of fuel  office car"/>
    <x v="3"/>
    <n v="25000"/>
    <x v="0"/>
    <s v="accountant"/>
    <s v="summary sheet"/>
  </r>
  <r>
    <s v="PCOO332"/>
    <d v="2024-12-27T00:00:00"/>
    <x v="0"/>
    <x v="11"/>
    <s v="Week4"/>
    <s v="purchase of fuel  for gen"/>
    <x v="3"/>
    <n v="27000"/>
    <x v="0"/>
    <s v="accountant"/>
    <s v="summary sheet"/>
  </r>
  <r>
    <s v="PCOO333"/>
    <d v="2024-12-30T00:00:00"/>
    <x v="0"/>
    <x v="11"/>
    <s v="Week5"/>
    <s v="fixing of office fan"/>
    <x v="5"/>
    <n v="5500"/>
    <x v="0"/>
    <s v="accountant"/>
    <s v="summary sheet"/>
  </r>
  <r>
    <s v="PCOO334"/>
    <d v="2024-12-03T00:00:00"/>
    <x v="0"/>
    <x v="11"/>
    <s v="Week1"/>
    <s v="electicity expenses"/>
    <x v="1"/>
    <n v="3000"/>
    <x v="0"/>
    <s v="accountant"/>
    <s v="summary sheet"/>
  </r>
  <r>
    <s v="PCOO335"/>
    <d v="2025-01-02T00:00:00"/>
    <x v="1"/>
    <x v="0"/>
    <s v="Week1"/>
    <s v="electicity expenses"/>
    <x v="1"/>
    <n v="5000"/>
    <x v="0"/>
    <s v="accountant"/>
    <s v="summary sheet"/>
  </r>
  <r>
    <s v="PCOO336"/>
    <d v="2025-01-03T00:00:00"/>
    <x v="1"/>
    <x v="0"/>
    <s v="Week1"/>
    <s v="internet sub PH 1"/>
    <x v="7"/>
    <n v="20000"/>
    <x v="0"/>
    <s v="accountant"/>
    <s v="summary sheet"/>
  </r>
  <r>
    <s v="PCOO337"/>
    <d v="2025-01-06T00:00:00"/>
    <x v="1"/>
    <x v="0"/>
    <s v="Week1"/>
    <s v="marketing expenses"/>
    <x v="2"/>
    <n v="13000"/>
    <x v="0"/>
    <s v="accountant"/>
    <s v="summary sheet"/>
  </r>
  <r>
    <s v="PCOO338"/>
    <d v="2025-01-06T00:00:00"/>
    <x v="1"/>
    <x v="0"/>
    <s v="Week1"/>
    <s v="internet sub PH 2"/>
    <x v="7"/>
    <n v="20000"/>
    <x v="0"/>
    <s v="accountant"/>
    <s v="summary sheet"/>
  </r>
  <r>
    <s v="PCOO339"/>
    <d v="2025-01-06T00:00:00"/>
    <x v="1"/>
    <x v="0"/>
    <s v="Week1"/>
    <s v="purchase  of c_way water"/>
    <x v="0"/>
    <n v="3000"/>
    <x v="0"/>
    <s v="accountant"/>
    <s v="summary sheet"/>
  </r>
  <r>
    <s v="PCOO340"/>
    <d v="2025-01-08T00:00:00"/>
    <x v="1"/>
    <x v="0"/>
    <s v="Week2"/>
    <s v="consumables"/>
    <x v="0"/>
    <n v="108930"/>
    <x v="1"/>
    <s v="accountant"/>
    <s v="summary sheet"/>
  </r>
  <r>
    <s v="PCOO341"/>
    <d v="2025-01-02T00:00:00"/>
    <x v="1"/>
    <x v="0"/>
    <s v="Week1"/>
    <s v="purchase of fuel  office car"/>
    <x v="3"/>
    <n v="23000"/>
    <x v="0"/>
    <s v="accountant"/>
    <s v="summary sheet"/>
  </r>
  <r>
    <s v="PCOO342"/>
    <d v="2025-01-13T00:00:00"/>
    <x v="1"/>
    <x v="0"/>
    <s v="Week2"/>
    <s v="delivery of parts to lagos"/>
    <x v="4"/>
    <n v="16000"/>
    <x v="1"/>
    <s v="accountant"/>
    <s v="summary sheet"/>
  </r>
  <r>
    <s v="PCOO343"/>
    <d v="2025-01-13T00:00:00"/>
    <x v="1"/>
    <x v="0"/>
    <s v="Week2"/>
    <s v="marketing expenses"/>
    <x v="2"/>
    <n v="13000"/>
    <x v="0"/>
    <s v="accountant"/>
    <s v="summary sheet"/>
  </r>
  <r>
    <s v="PCOO344"/>
    <d v="2025-01-13T00:00:00"/>
    <x v="1"/>
    <x v="0"/>
    <s v="Week2"/>
    <s v="internet sub PH 3"/>
    <x v="7"/>
    <n v="20000"/>
    <x v="0"/>
    <s v="accountant"/>
    <s v="summary sheet"/>
  </r>
  <r>
    <s v="PCOO345"/>
    <d v="2025-01-14T00:00:00"/>
    <x v="1"/>
    <x v="0"/>
    <s v="Week2"/>
    <s v="marketing expenses"/>
    <x v="2"/>
    <n v="7500"/>
    <x v="2"/>
    <s v="accountant"/>
    <s v="summary sheet"/>
  </r>
  <r>
    <s v="PCOO346"/>
    <d v="2025-01-14T00:00:00"/>
    <x v="1"/>
    <x v="0"/>
    <s v="Week2"/>
    <s v="transport of parts to &amp;fro"/>
    <x v="4"/>
    <n v="8000"/>
    <x v="0"/>
    <s v="accountant"/>
    <s v="summary sheet"/>
  </r>
  <r>
    <s v="PCOO347"/>
    <d v="2025-01-15T00:00:00"/>
    <x v="1"/>
    <x v="0"/>
    <s v="Week3"/>
    <s v="recharge allowance"/>
    <x v="0"/>
    <n v="5000"/>
    <x v="0"/>
    <s v="accountant"/>
    <s v="summary sheet"/>
  </r>
  <r>
    <s v="PCOO348"/>
    <d v="2025-01-14T00:00:00"/>
    <x v="1"/>
    <x v="0"/>
    <s v="Week2"/>
    <s v="electicity expenses"/>
    <x v="1"/>
    <n v="3000"/>
    <x v="0"/>
    <s v="accountant"/>
    <s v="summary sheet"/>
  </r>
  <r>
    <s v="PCOO349"/>
    <d v="2025-01-20T00:00:00"/>
    <x v="1"/>
    <x v="0"/>
    <s v="Week3"/>
    <s v="marketing expenses"/>
    <x v="2"/>
    <n v="13000"/>
    <x v="0"/>
    <s v="accountant"/>
    <s v="summary sheet"/>
  </r>
  <r>
    <s v="PCOO350"/>
    <d v="2025-01-20T00:00:00"/>
    <x v="1"/>
    <x v="0"/>
    <s v="Week3"/>
    <s v="delivery of parts to onne"/>
    <x v="4"/>
    <n v="6000"/>
    <x v="0"/>
    <s v="accountant"/>
    <s v="summary sheet"/>
  </r>
  <r>
    <s v="PCOO351"/>
    <d v="2025-01-20T00:00:00"/>
    <x v="1"/>
    <x v="0"/>
    <s v="Week3"/>
    <s v="fixing of office chair"/>
    <x v="5"/>
    <n v="3000"/>
    <x v="2"/>
    <s v="accountant"/>
    <s v="summary sheet"/>
  </r>
  <r>
    <s v="PCOO352"/>
    <d v="2025-01-21T00:00:00"/>
    <x v="1"/>
    <x v="0"/>
    <s v="Week3"/>
    <s v="electicity expenses"/>
    <x v="1"/>
    <n v="4000"/>
    <x v="0"/>
    <s v="accountant"/>
    <s v="summary sheet"/>
  </r>
  <r>
    <s v="PCOO353"/>
    <d v="2025-01-21T00:00:00"/>
    <x v="1"/>
    <x v="0"/>
    <s v="Week3"/>
    <s v="transport to bank"/>
    <x v="4"/>
    <n v="3000"/>
    <x v="2"/>
    <s v="accountant"/>
    <s v="summary sheet"/>
  </r>
  <r>
    <s v="PCOO354"/>
    <d v="2025-01-23T00:00:00"/>
    <x v="1"/>
    <x v="0"/>
    <s v="Week4"/>
    <s v="delivery of parts to bori"/>
    <x v="4"/>
    <n v="6000"/>
    <x v="0"/>
    <s v="accountant"/>
    <s v="summary sheet"/>
  </r>
  <r>
    <s v="PCOO355"/>
    <d v="2025-01-27T00:00:00"/>
    <x v="1"/>
    <x v="0"/>
    <s v="Week4"/>
    <s v="travel expenses"/>
    <x v="2"/>
    <n v="64000"/>
    <x v="0"/>
    <s v="accountant"/>
    <s v="summary sheet"/>
  </r>
  <r>
    <s v="PCOO356"/>
    <d v="2025-01-27T00:00:00"/>
    <x v="1"/>
    <x v="0"/>
    <s v="Week4"/>
    <s v="purchase of office fan"/>
    <x v="8"/>
    <n v="76000"/>
    <x v="0"/>
    <s v="accountant"/>
    <s v="summary sheet"/>
  </r>
  <r>
    <s v="PCOO357"/>
    <d v="2025-01-27T00:00:00"/>
    <x v="1"/>
    <x v="0"/>
    <s v="Week4"/>
    <s v="repair of office laptop"/>
    <x v="5"/>
    <n v="10500"/>
    <x v="0"/>
    <s v="accountant"/>
    <s v="summary sheet"/>
  </r>
  <r>
    <s v="PCOO358"/>
    <d v="2025-01-29T00:00:00"/>
    <x v="1"/>
    <x v="0"/>
    <s v="Week5"/>
    <s v="purchases of c way water"/>
    <x v="0"/>
    <n v="4500"/>
    <x v="1"/>
    <s v="accountant"/>
    <s v="summary sheet"/>
  </r>
  <r>
    <s v="PCOO359"/>
    <d v="2025-01-29T00:00:00"/>
    <x v="1"/>
    <x v="0"/>
    <s v="Week5"/>
    <s v="purchase of fuel  for gen"/>
    <x v="3"/>
    <n v="26000"/>
    <x v="1"/>
    <s v="accountant"/>
    <s v="summary sheet"/>
  </r>
  <r>
    <s v="PCOO360"/>
    <d v="2025-01-30T00:00:00"/>
    <x v="1"/>
    <x v="0"/>
    <s v="Week5"/>
    <s v="recharge allowance"/>
    <x v="0"/>
    <n v="5000"/>
    <x v="0"/>
    <s v="accountant"/>
    <s v="summary sheet"/>
  </r>
  <r>
    <s v="PCOO361"/>
    <d v="2025-01-31T00:00:00"/>
    <x v="1"/>
    <x v="0"/>
    <s v="Week5"/>
    <s v="waste dispoal"/>
    <x v="6"/>
    <n v="10000"/>
    <x v="0"/>
    <s v="accountant"/>
    <s v="summary sheet"/>
  </r>
  <r>
    <s v="PCOO362"/>
    <d v="2025-01-01T00:00:00"/>
    <x v="1"/>
    <x v="0"/>
    <s v="Week1"/>
    <s v="electicity expenses"/>
    <x v="1"/>
    <n v="5000"/>
    <x v="0"/>
    <s v="accountant"/>
    <s v="summary sheet"/>
  </r>
  <r>
    <s v="PCOO363"/>
    <d v="2025-01-20T00:00:00"/>
    <x v="1"/>
    <x v="0"/>
    <s v="Week3"/>
    <s v="purchase  of c_way water"/>
    <x v="0"/>
    <n v="3000"/>
    <x v="0"/>
    <s v="accountant"/>
    <s v="summary sheet"/>
  </r>
  <r>
    <s v="PCOO364"/>
    <d v="2025-02-03T00:00:00"/>
    <x v="1"/>
    <x v="1"/>
    <s v="Week1"/>
    <s v="marketing expenses"/>
    <x v="2"/>
    <n v="13000"/>
    <x v="0"/>
    <s v="accountant"/>
    <s v="summary sheet"/>
  </r>
  <r>
    <s v="PCOO365"/>
    <d v="2025-02-03T00:00:00"/>
    <x v="1"/>
    <x v="1"/>
    <s v="Week1"/>
    <s v="port access to onne"/>
    <x v="9"/>
    <n v="5000"/>
    <x v="2"/>
    <s v="accountant"/>
    <s v="summary sheet"/>
  </r>
  <r>
    <s v="PCOO366"/>
    <d v="2025-02-03T00:00:00"/>
    <x v="1"/>
    <x v="1"/>
    <s v="Week1"/>
    <s v="internet sub PH 1"/>
    <x v="7"/>
    <n v="20000"/>
    <x v="0"/>
    <s v="accountant"/>
    <s v="summary sheet"/>
  </r>
  <r>
    <s v="PCOO367"/>
    <d v="2025-02-03T00:00:00"/>
    <x v="1"/>
    <x v="1"/>
    <s v="Week1"/>
    <s v="purchase of fuel  for gen"/>
    <x v="3"/>
    <n v="25000"/>
    <x v="0"/>
    <s v="accountant"/>
    <s v="summary sheet"/>
  </r>
  <r>
    <s v="PCOO368"/>
    <d v="2025-02-03T00:00:00"/>
    <x v="1"/>
    <x v="1"/>
    <s v="Week1"/>
    <s v="internet sub PH 2"/>
    <x v="7"/>
    <n v="20000"/>
    <x v="0"/>
    <s v="accountant"/>
    <s v="summary sheet"/>
  </r>
  <r>
    <s v="PCOO369"/>
    <d v="2025-02-03T00:00:00"/>
    <x v="1"/>
    <x v="1"/>
    <s v="Week1"/>
    <s v="bank charges on transaction"/>
    <x v="9"/>
    <n v="3000"/>
    <x v="0"/>
    <s v="accountant"/>
    <s v="summary sheet"/>
  </r>
  <r>
    <s v="PCOO370"/>
    <d v="2025-02-04T00:00:00"/>
    <x v="1"/>
    <x v="1"/>
    <s v="Week1"/>
    <s v="consumables"/>
    <x v="0"/>
    <n v="101600"/>
    <x v="1"/>
    <s v="accountant"/>
    <s v="summary sheet"/>
  </r>
  <r>
    <s v="PCOO371"/>
    <d v="2025-02-05T00:00:00"/>
    <x v="1"/>
    <x v="1"/>
    <s v="Week1"/>
    <s v="patching of office car tyre"/>
    <x v="5"/>
    <n v="4000"/>
    <x v="2"/>
    <s v="accountant"/>
    <s v="summary sheet"/>
  </r>
  <r>
    <s v="PCOO372"/>
    <d v="2025-02-17T00:00:00"/>
    <x v="1"/>
    <x v="1"/>
    <s v="Week3"/>
    <s v="purchase of wall socket"/>
    <x v="8"/>
    <n v="3000"/>
    <x v="2"/>
    <s v="accountant"/>
    <s v="summary sheet"/>
  </r>
  <r>
    <s v="PCOO373"/>
    <d v="2025-02-17T00:00:00"/>
    <x v="1"/>
    <x v="1"/>
    <s v="Week3"/>
    <s v="marketing expenses"/>
    <x v="2"/>
    <n v="13000"/>
    <x v="0"/>
    <s v="accountant"/>
    <s v="summary sheet"/>
  </r>
  <r>
    <s v="PCOO374"/>
    <d v="2025-02-17T00:00:00"/>
    <x v="1"/>
    <x v="1"/>
    <s v="Week3"/>
    <s v="electicity expenses"/>
    <x v="1"/>
    <n v="3000"/>
    <x v="0"/>
    <s v="accountant"/>
    <s v="summary sheet"/>
  </r>
  <r>
    <s v="PCOO375"/>
    <d v="2025-02-19T00:00:00"/>
    <x v="1"/>
    <x v="1"/>
    <s v="Week3"/>
    <s v="purchase of office extension"/>
    <x v="8"/>
    <n v="5000"/>
    <x v="0"/>
    <s v="accountant"/>
    <s v="summary sheet"/>
  </r>
  <r>
    <s v="PCOO376"/>
    <d v="2025-02-19T00:00:00"/>
    <x v="1"/>
    <x v="1"/>
    <s v="Week3"/>
    <s v="purchase of fuel  office car"/>
    <x v="3"/>
    <n v="25000"/>
    <x v="0"/>
    <s v="accountant"/>
    <s v="summary sheet"/>
  </r>
  <r>
    <s v="PCOO377"/>
    <d v="2025-02-20T00:00:00"/>
    <x v="1"/>
    <x v="1"/>
    <s v="Week3"/>
    <s v="purchase of fuel  office car"/>
    <x v="3"/>
    <n v="27000"/>
    <x v="0"/>
    <s v="accountant"/>
    <s v="summary sheet"/>
  </r>
  <r>
    <s v="PCOO378"/>
    <d v="2025-02-24T00:00:00"/>
    <x v="1"/>
    <x v="1"/>
    <s v="Week4"/>
    <s v="delivery  of parts to calabar"/>
    <x v="4"/>
    <n v="15000"/>
    <x v="1"/>
    <s v="accountant"/>
    <s v="summary sheet"/>
  </r>
  <r>
    <s v="PCOO379"/>
    <d v="2025-02-10T00:00:00"/>
    <x v="1"/>
    <x v="1"/>
    <s v="Week2"/>
    <s v="marketing expenses"/>
    <x v="2"/>
    <n v="13000"/>
    <x v="0"/>
    <s v="accountant"/>
    <s v="summary sheet"/>
  </r>
  <r>
    <s v="PCOO380"/>
    <d v="2025-02-12T00:00:00"/>
    <x v="1"/>
    <x v="1"/>
    <s v="Week2"/>
    <s v="transportation of parts to &amp; fro onne"/>
    <x v="4"/>
    <n v="6000"/>
    <x v="0"/>
    <s v="accountant"/>
    <s v="summary sheet"/>
  </r>
  <r>
    <s v="PCOO381"/>
    <d v="2025-02-14T00:00:00"/>
    <x v="1"/>
    <x v="1"/>
    <s v="Week2"/>
    <s v="purchase of stationery"/>
    <x v="8"/>
    <n v="32000"/>
    <x v="0"/>
    <s v="accountant"/>
    <s v="summary sheet"/>
  </r>
  <r>
    <s v="PCOO382"/>
    <d v="2025-02-13T00:00:00"/>
    <x v="1"/>
    <x v="1"/>
    <s v="Week2"/>
    <s v="purchase  of c_way water"/>
    <x v="0"/>
    <n v="4500"/>
    <x v="1"/>
    <s v="accountant"/>
    <s v="summary sheet"/>
  </r>
  <r>
    <s v="PCOO383"/>
    <d v="2025-02-17T00:00:00"/>
    <x v="1"/>
    <x v="1"/>
    <s v="Week3"/>
    <s v="purchase of fuel  office car"/>
    <x v="3"/>
    <n v="27000"/>
    <x v="0"/>
    <s v="accountant"/>
    <s v="summary sheet"/>
  </r>
  <r>
    <s v="PCOO384"/>
    <d v="2025-02-10T00:00:00"/>
    <x v="1"/>
    <x v="1"/>
    <s v="Week2"/>
    <s v="recharge allowance"/>
    <x v="0"/>
    <n v="5000"/>
    <x v="0"/>
    <s v="accountant"/>
    <s v="summary sheet"/>
  </r>
  <r>
    <s v="PCOO385"/>
    <d v="2025-02-20T00:00:00"/>
    <x v="1"/>
    <x v="1"/>
    <s v="Week3"/>
    <s v="internet sub PH 3"/>
    <x v="7"/>
    <n v="20000"/>
    <x v="0"/>
    <s v="accountant"/>
    <s v="summary sheet"/>
  </r>
  <r>
    <s v="PCOO386"/>
    <d v="2025-02-24T00:00:00"/>
    <x v="1"/>
    <x v="1"/>
    <s v="Week4"/>
    <s v="marketing expenses"/>
    <x v="2"/>
    <n v="13000"/>
    <x v="0"/>
    <s v="accountant"/>
    <s v="summary sheet"/>
  </r>
  <r>
    <s v="PCOO387"/>
    <d v="2025-02-25T00:00:00"/>
    <x v="1"/>
    <x v="1"/>
    <s v="Week4"/>
    <s v="fumigation"/>
    <x v="5"/>
    <n v="25000"/>
    <x v="0"/>
    <s v="accountant"/>
    <s v="summary sheet"/>
  </r>
  <r>
    <s v="PCOO388"/>
    <d v="2025-02-25T00:00:00"/>
    <x v="1"/>
    <x v="1"/>
    <s v="Week4"/>
    <s v="transport to the bank"/>
    <x v="4"/>
    <n v="2500"/>
    <x v="2"/>
    <s v="accountant"/>
    <s v="summary sheet"/>
  </r>
  <r>
    <s v="PCOO389"/>
    <d v="2025-02-26T00:00:00"/>
    <x v="1"/>
    <x v="1"/>
    <s v="Week4"/>
    <s v="transport to auto to&amp;fro"/>
    <x v="4"/>
    <n v="2500"/>
    <x v="2"/>
    <s v="accountant"/>
    <s v="summary sheet"/>
  </r>
  <r>
    <s v="PCOO390"/>
    <d v="2025-02-27T00:00:00"/>
    <x v="1"/>
    <x v="1"/>
    <s v="Week4"/>
    <s v="recharge allowance"/>
    <x v="0"/>
    <n v="5000"/>
    <x v="0"/>
    <s v="accountant"/>
    <s v="summary sheet"/>
  </r>
  <r>
    <s v="PCOO391"/>
    <d v="2025-02-27T00:00:00"/>
    <x v="1"/>
    <x v="1"/>
    <s v="Week4"/>
    <s v="purchase  of c_way water"/>
    <x v="0"/>
    <n v="4500"/>
    <x v="2"/>
    <s v="accountant"/>
    <s v="summary sheet"/>
  </r>
  <r>
    <s v="PCOO392"/>
    <d v="2025-02-27T00:00:00"/>
    <x v="1"/>
    <x v="1"/>
    <s v="Week4"/>
    <s v="purchase of fuel  office car"/>
    <x v="3"/>
    <n v="25000"/>
    <x v="0"/>
    <s v="accountant"/>
    <s v="summary sheet"/>
  </r>
  <r>
    <s v="PCOO393"/>
    <d v="2025-02-27T00:00:00"/>
    <x v="1"/>
    <x v="1"/>
    <s v="Week4"/>
    <s v="purchase of fuel  for gen"/>
    <x v="3"/>
    <n v="22000"/>
    <x v="0"/>
    <s v="accountant"/>
    <s v="summary sheet"/>
  </r>
  <r>
    <s v="PCOO394"/>
    <d v="2025-03-01T00:00:00"/>
    <x v="1"/>
    <x v="2"/>
    <s v="Week1"/>
    <s v="electicity expenses"/>
    <x v="1"/>
    <n v="4000"/>
    <x v="0"/>
    <s v="accountant"/>
    <s v="summary sheet"/>
  </r>
  <r>
    <s v="PCOO395"/>
    <d v="2025-03-03T00:00:00"/>
    <x v="1"/>
    <x v="2"/>
    <s v="Week1"/>
    <s v="internet sub PH 1"/>
    <x v="7"/>
    <n v="24000"/>
    <x v="0"/>
    <s v="accountant"/>
    <s v="summary sheet"/>
  </r>
  <r>
    <s v="PCOO396"/>
    <d v="2025-03-03T00:00:00"/>
    <x v="1"/>
    <x v="2"/>
    <s v="Week1"/>
    <s v="marketing expenses"/>
    <x v="2"/>
    <n v="13000"/>
    <x v="0"/>
    <s v="accountant"/>
    <s v="summary sheet"/>
  </r>
  <r>
    <s v="PCOO397"/>
    <d v="2025-03-04T00:00:00"/>
    <x v="1"/>
    <x v="2"/>
    <s v="Week1"/>
    <s v="consumables"/>
    <x v="0"/>
    <n v="109580"/>
    <x v="1"/>
    <s v="accountant"/>
    <s v="summary sheet"/>
  </r>
  <r>
    <s v="PCOO398"/>
    <d v="2025-03-05T00:00:00"/>
    <x v="1"/>
    <x v="2"/>
    <s v="Week1"/>
    <s v="hiring of batteries for office machine"/>
    <x v="5"/>
    <n v="12000"/>
    <x v="2"/>
    <s v="accountant"/>
    <s v="summary sheet"/>
  </r>
  <r>
    <s v="PCOO399"/>
    <d v="2025-03-05T00:00:00"/>
    <x v="1"/>
    <x v="2"/>
    <s v="Week1"/>
    <s v="hiring of loader for office machine"/>
    <x v="9"/>
    <n v="10000"/>
    <x v="2"/>
    <s v="accountant"/>
    <s v="summary sheet"/>
  </r>
  <r>
    <s v="PCOO400"/>
    <d v="2025-03-05T00:00:00"/>
    <x v="1"/>
    <x v="2"/>
    <s v="Week1"/>
    <s v="servicing of office gen"/>
    <x v="5"/>
    <n v="7000"/>
    <x v="0"/>
    <s v="accountant"/>
    <s v="summary sheet"/>
  </r>
  <r>
    <s v="PCOO401"/>
    <d v="2025-03-05T00:00:00"/>
    <x v="1"/>
    <x v="2"/>
    <s v="Week1"/>
    <s v="internet sub PH 2"/>
    <x v="7"/>
    <n v="24000"/>
    <x v="0"/>
    <s v="accountant"/>
    <s v="summary sheet"/>
  </r>
  <r>
    <s v="PCOO402"/>
    <d v="2025-03-06T00:00:00"/>
    <x v="1"/>
    <x v="2"/>
    <s v="Week1"/>
    <s v="purchase of printer ink"/>
    <x v="8"/>
    <n v="25000"/>
    <x v="0"/>
    <s v="accountant"/>
    <s v="summary sheet"/>
  </r>
  <r>
    <s v="PCOO403"/>
    <d v="2025-03-27T00:00:00"/>
    <x v="1"/>
    <x v="2"/>
    <s v="Week4"/>
    <s v="renewal of international pasport"/>
    <x v="9"/>
    <n v="102000"/>
    <x v="0"/>
    <s v="accountant"/>
    <s v="summary sheet"/>
  </r>
  <r>
    <s v="PCOO404"/>
    <d v="2025-03-01T00:00:00"/>
    <x v="1"/>
    <x v="2"/>
    <s v="Week1"/>
    <s v="travel expenses"/>
    <x v="2"/>
    <n v="55000"/>
    <x v="0"/>
    <s v="accountant"/>
    <s v="summary sheet"/>
  </r>
  <r>
    <s v="PCOO405"/>
    <d v="2025-03-10T00:00:00"/>
    <x v="1"/>
    <x v="2"/>
    <s v="Week2"/>
    <s v="internet sub PH 3"/>
    <x v="7"/>
    <n v="24000"/>
    <x v="0"/>
    <s v="accountant"/>
    <s v="summary sheet"/>
  </r>
  <r>
    <s v="PCOO406"/>
    <d v="2025-03-10T00:00:00"/>
    <x v="1"/>
    <x v="2"/>
    <s v="Week2"/>
    <s v="marketing expenses"/>
    <x v="2"/>
    <n v="13000"/>
    <x v="0"/>
    <s v="accountant"/>
    <s v="summary sheet"/>
  </r>
  <r>
    <s v="PCOO407"/>
    <d v="2025-03-10T00:00:00"/>
    <x v="1"/>
    <x v="2"/>
    <s v="Week2"/>
    <s v="waybill of parts to ebonyi"/>
    <x v="4"/>
    <n v="10000"/>
    <x v="0"/>
    <s v="accountant"/>
    <s v="summary sheet"/>
  </r>
  <r>
    <s v="PCOO408"/>
    <d v="2025-03-11T00:00:00"/>
    <x v="1"/>
    <x v="2"/>
    <s v="Week2"/>
    <s v="electicity expenses"/>
    <x v="1"/>
    <n v="4000"/>
    <x v="0"/>
    <s v="accountant"/>
    <s v="summary sheet"/>
  </r>
  <r>
    <s v="PCOO409"/>
    <d v="2025-03-13T00:00:00"/>
    <x v="1"/>
    <x v="2"/>
    <s v="Week2"/>
    <s v="transportation of parts to &amp; fro onne"/>
    <x v="4"/>
    <n v="7000"/>
    <x v="0"/>
    <s v="accountant"/>
    <s v="summary sheet"/>
  </r>
  <r>
    <s v="PCOO410"/>
    <d v="2025-03-13T00:00:00"/>
    <x v="1"/>
    <x v="2"/>
    <s v="Week2"/>
    <s v="flight ticket"/>
    <x v="4"/>
    <n v="2800"/>
    <x v="0"/>
    <s v="accountant"/>
    <s v="summary sheet"/>
  </r>
  <r>
    <s v="PCOO411"/>
    <d v="2025-03-19T00:00:00"/>
    <x v="1"/>
    <x v="2"/>
    <s v="Week3"/>
    <s v="marketing expenses"/>
    <x v="2"/>
    <n v="13000"/>
    <x v="0"/>
    <s v="accountant"/>
    <s v="summary sheet"/>
  </r>
  <r>
    <s v="PCOO412"/>
    <d v="2025-03-17T00:00:00"/>
    <x v="1"/>
    <x v="2"/>
    <s v="Week3"/>
    <s v="transportation of parts to &amp; fro onne"/>
    <x v="4"/>
    <n v="10000"/>
    <x v="2"/>
    <s v="accountant"/>
    <s v="summary sheet"/>
  </r>
  <r>
    <s v="PCOO413"/>
    <d v="2025-03-19T00:00:00"/>
    <x v="1"/>
    <x v="2"/>
    <s v="Week3"/>
    <s v="purchase  of c_way water"/>
    <x v="0"/>
    <n v="4500"/>
    <x v="2"/>
    <s v="accountant"/>
    <s v="summary sheet"/>
  </r>
  <r>
    <s v="PCOO414"/>
    <d v="2025-03-24T00:00:00"/>
    <x v="1"/>
    <x v="2"/>
    <s v="Week4"/>
    <s v="marketing expenses"/>
    <x v="2"/>
    <n v="13000"/>
    <x v="0"/>
    <s v="accountant"/>
    <s v="summary sheet"/>
  </r>
  <r>
    <s v="PCOO415"/>
    <d v="2025-03-24T00:00:00"/>
    <x v="1"/>
    <x v="2"/>
    <s v="Week4"/>
    <s v="waste dispoal"/>
    <x v="6"/>
    <n v="10000"/>
    <x v="2"/>
    <s v="accountant"/>
    <s v="summary sheet"/>
  </r>
  <r>
    <s v="PCOO416"/>
    <d v="2025-03-25T00:00:00"/>
    <x v="1"/>
    <x v="2"/>
    <s v="Week4"/>
    <s v="purchase of fuel  for gen"/>
    <x v="3"/>
    <n v="20000"/>
    <x v="1"/>
    <s v="accountant"/>
    <s v="summary sheet"/>
  </r>
  <r>
    <s v="PCOO417"/>
    <d v="2025-03-25T00:00:00"/>
    <x v="1"/>
    <x v="2"/>
    <s v="Week4"/>
    <s v="purchase of plug  for office gen"/>
    <x v="5"/>
    <n v="4000"/>
    <x v="0"/>
    <s v="accountant"/>
    <s v="summary sheet"/>
  </r>
  <r>
    <s v="PCOO418"/>
    <d v="2025-03-26T00:00:00"/>
    <x v="1"/>
    <x v="2"/>
    <s v="Week4"/>
    <s v="recharge allowance"/>
    <x v="0"/>
    <n v="5000"/>
    <x v="0"/>
    <s v="accountant"/>
    <s v="summary sheet"/>
  </r>
  <r>
    <s v="PCOO419"/>
    <d v="2025-03-11T00:00:00"/>
    <x v="1"/>
    <x v="2"/>
    <s v="Week2"/>
    <s v="recharge allowance"/>
    <x v="0"/>
    <n v="5000"/>
    <x v="0"/>
    <s v="accountant"/>
    <s v="summary sheet"/>
  </r>
  <r>
    <s v="PCOO420"/>
    <d v="2025-03-27T00:00:00"/>
    <x v="1"/>
    <x v="2"/>
    <s v="Week4"/>
    <s v="purchase of fuel  office car"/>
    <x v="3"/>
    <n v="25000"/>
    <x v="0"/>
    <s v="accountant"/>
    <s v="summary sheet"/>
  </r>
  <r>
    <s v="PCOO421"/>
    <d v="2025-03-27T00:00:00"/>
    <x v="1"/>
    <x v="2"/>
    <s v="Week4"/>
    <s v="purchase of fuel  office car"/>
    <x v="3"/>
    <n v="25000"/>
    <x v="0"/>
    <s v="accountant"/>
    <s v="summary sheet"/>
  </r>
  <r>
    <s v="PCOO422"/>
    <d v="2025-04-02T00:00:00"/>
    <x v="1"/>
    <x v="3"/>
    <s v="Week1"/>
    <s v="marketing expenses"/>
    <x v="2"/>
    <n v="13000"/>
    <x v="0"/>
    <s v="accountant"/>
    <s v="summary sheet"/>
  </r>
  <r>
    <s v="PCOO423"/>
    <d v="2025-04-02T00:00:00"/>
    <x v="1"/>
    <x v="3"/>
    <s v="Week1"/>
    <s v="purchase of fuel  for gen"/>
    <x v="3"/>
    <n v="25000"/>
    <x v="0"/>
    <s v="accountant"/>
    <s v="summary sheet"/>
  </r>
  <r>
    <s v="PCOO424"/>
    <d v="2025-04-02T00:00:00"/>
    <x v="1"/>
    <x v="3"/>
    <s v="Week1"/>
    <s v="transportation of parts to &amp; fro onne"/>
    <x v="4"/>
    <n v="7000"/>
    <x v="0"/>
    <s v="accountant"/>
    <s v="summary sheet"/>
  </r>
  <r>
    <s v="PCOO425"/>
    <d v="2025-04-02T00:00:00"/>
    <x v="1"/>
    <x v="3"/>
    <s v="Week1"/>
    <s v="internet sub PH 1"/>
    <x v="7"/>
    <n v="24000"/>
    <x v="0"/>
    <s v="accountant"/>
    <s v="summary sheet"/>
  </r>
  <r>
    <s v="PCOO426"/>
    <d v="2025-04-02T00:00:00"/>
    <x v="1"/>
    <x v="3"/>
    <s v="Week1"/>
    <s v="internet sub PH 2"/>
    <x v="7"/>
    <n v="24000"/>
    <x v="0"/>
    <s v="accountant"/>
    <s v="summary sheet"/>
  </r>
  <r>
    <s v="PCOO427"/>
    <d v="2025-04-03T00:00:00"/>
    <x v="1"/>
    <x v="3"/>
    <s v="Week1"/>
    <s v="flight ticket"/>
    <x v="4"/>
    <n v="4000"/>
    <x v="2"/>
    <s v="accountant"/>
    <s v="summary sheet"/>
  </r>
  <r>
    <s v="PCOO428"/>
    <d v="2025-04-03T00:00:00"/>
    <x v="1"/>
    <x v="3"/>
    <s v="Week1"/>
    <s v="purchase of fuel  office car"/>
    <x v="3"/>
    <n v="22000"/>
    <x v="0"/>
    <s v="accountant"/>
    <s v="summary sheet"/>
  </r>
  <r>
    <s v="PCOO429"/>
    <d v="2025-04-04T00:00:00"/>
    <x v="1"/>
    <x v="3"/>
    <s v="Week1"/>
    <s v="purchase of fuel  for gen"/>
    <x v="3"/>
    <n v="15000"/>
    <x v="0"/>
    <s v="accountant"/>
    <s v="summary sheet"/>
  </r>
  <r>
    <s v="PCOO430"/>
    <d v="2025-04-04T00:00:00"/>
    <x v="1"/>
    <x v="3"/>
    <s v="Week1"/>
    <s v="purchase of rope"/>
    <x v="9"/>
    <n v="6000"/>
    <x v="0"/>
    <s v="accountant"/>
    <s v="summary sheet"/>
  </r>
  <r>
    <s v="PCOO431"/>
    <d v="2025-04-05T00:00:00"/>
    <x v="1"/>
    <x v="3"/>
    <s v="Week1"/>
    <s v="electicity expenses"/>
    <x v="1"/>
    <n v="4000"/>
    <x v="0"/>
    <s v="accountant"/>
    <s v="summary sheet"/>
  </r>
  <r>
    <s v="PCOO432"/>
    <d v="2025-04-07T00:00:00"/>
    <x v="1"/>
    <x v="3"/>
    <s v="Week1"/>
    <s v="consumables"/>
    <x v="0"/>
    <n v="104600"/>
    <x v="0"/>
    <s v="accountant"/>
    <s v="summary sheet"/>
  </r>
  <r>
    <s v="PCOO433"/>
    <d v="2025-04-07T00:00:00"/>
    <x v="1"/>
    <x v="3"/>
    <s v="Week1"/>
    <s v="marketing expenses"/>
    <x v="2"/>
    <n v="13000"/>
    <x v="0"/>
    <s v="accountant"/>
    <s v="summary sheet"/>
  </r>
  <r>
    <s v="PCOO434"/>
    <d v="2025-04-08T00:00:00"/>
    <x v="1"/>
    <x v="3"/>
    <s v="Week2"/>
    <s v="recharge allowance"/>
    <x v="0"/>
    <n v="5000"/>
    <x v="0"/>
    <s v="accountant"/>
    <s v="summary sheet"/>
  </r>
  <r>
    <s v="PCOO435"/>
    <d v="2025-04-10T00:00:00"/>
    <x v="1"/>
    <x v="3"/>
    <s v="Week2"/>
    <s v="purchase of fuel  for gen"/>
    <x v="3"/>
    <n v="25000"/>
    <x v="0"/>
    <s v="accountant"/>
    <s v="summary sheet"/>
  </r>
  <r>
    <s v="PCOO436"/>
    <d v="2025-04-10T00:00:00"/>
    <x v="1"/>
    <x v="3"/>
    <s v="Week2"/>
    <s v="purchase of fuel  office car"/>
    <x v="3"/>
    <n v="25000"/>
    <x v="0"/>
    <s v="accountant"/>
    <s v="summary sheet"/>
  </r>
  <r>
    <s v="PCOO437"/>
    <d v="2025-04-10T00:00:00"/>
    <x v="1"/>
    <x v="3"/>
    <s v="Week2"/>
    <s v="internet sub PH 3"/>
    <x v="7"/>
    <n v="24000"/>
    <x v="0"/>
    <s v="accountant"/>
    <s v="summary sheet"/>
  </r>
  <r>
    <s v="PCOO438"/>
    <d v="2025-04-07T00:00:00"/>
    <x v="1"/>
    <x v="3"/>
    <s v="Week1"/>
    <s v="purchase  of c_way water"/>
    <x v="0"/>
    <n v="4800"/>
    <x v="0"/>
    <s v="accountant"/>
    <s v="summary sheet"/>
  </r>
  <r>
    <s v="PCOO439"/>
    <d v="2025-04-10T00:00:00"/>
    <x v="1"/>
    <x v="3"/>
    <s v="Week2"/>
    <s v="purchase of fuel  office car"/>
    <x v="3"/>
    <n v="22000"/>
    <x v="0"/>
    <s v="accountant"/>
    <s v="summary sheet"/>
  </r>
  <r>
    <s v="PCOO440"/>
    <d v="2025-04-14T00:00:00"/>
    <x v="1"/>
    <x v="3"/>
    <s v="Week2"/>
    <s v="marketing expenses"/>
    <x v="2"/>
    <n v="13000"/>
    <x v="0"/>
    <s v="accountant"/>
    <s v="summary sheet"/>
  </r>
  <r>
    <s v="PCOO441"/>
    <d v="2025-04-24T00:00:00"/>
    <x v="1"/>
    <x v="3"/>
    <s v="Week4"/>
    <s v="purchase of fuel  office car"/>
    <x v="3"/>
    <n v="25000"/>
    <x v="0"/>
    <s v="accountant"/>
    <s v="summary sheet"/>
  </r>
  <r>
    <s v="PCOO442"/>
    <d v="2025-04-15T00:00:00"/>
    <x v="1"/>
    <x v="3"/>
    <s v="Week3"/>
    <s v="fixing of office table"/>
    <x v="5"/>
    <n v="4000"/>
    <x v="2"/>
    <s v="accountant"/>
    <s v="summary sheet"/>
  </r>
  <r>
    <s v="PCOO443"/>
    <d v="2025-04-16T00:00:00"/>
    <x v="1"/>
    <x v="3"/>
    <s v="Week3"/>
    <s v="purchase of fuel  for gen"/>
    <x v="3"/>
    <n v="25000"/>
    <x v="0"/>
    <s v="accountant"/>
    <s v="summary sheet"/>
  </r>
  <r>
    <s v="PCOO444"/>
    <d v="2025-04-16T00:00:00"/>
    <x v="1"/>
    <x v="3"/>
    <s v="Week3"/>
    <s v="transport to the bank"/>
    <x v="4"/>
    <n v="5000"/>
    <x v="1"/>
    <s v="accountant"/>
    <s v="summary sheet"/>
  </r>
  <r>
    <s v="PCOO445"/>
    <d v="2025-04-18T00:00:00"/>
    <x v="1"/>
    <x v="3"/>
    <s v="Week3"/>
    <s v="purchase of fuel  office car"/>
    <x v="3"/>
    <n v="25000"/>
    <x v="0"/>
    <s v="accountant"/>
    <s v="summary sheet"/>
  </r>
  <r>
    <s v="PCOO446"/>
    <d v="2025-04-17T00:00:00"/>
    <x v="1"/>
    <x v="3"/>
    <s v="Week3"/>
    <s v="purchase of fuel  office car"/>
    <x v="3"/>
    <n v="25000"/>
    <x v="0"/>
    <s v="accountant"/>
    <s v="summary sheet"/>
  </r>
  <r>
    <s v="PCOO447"/>
    <d v="2025-04-21T00:00:00"/>
    <x v="1"/>
    <x v="3"/>
    <s v="Week3"/>
    <s v="purchase of fuel  office car"/>
    <x v="3"/>
    <n v="25000"/>
    <x v="1"/>
    <s v="accountant"/>
    <s v="summary sheet"/>
  </r>
  <r>
    <s v="PCOO448"/>
    <d v="2025-04-22T00:00:00"/>
    <x v="1"/>
    <x v="3"/>
    <s v="Week4"/>
    <s v="electicity expenses"/>
    <x v="1"/>
    <n v="2000"/>
    <x v="0"/>
    <s v="accountant"/>
    <s v="summary sheet"/>
  </r>
  <r>
    <s v="PCOO449"/>
    <d v="2025-04-24T00:00:00"/>
    <x v="1"/>
    <x v="3"/>
    <s v="Week4"/>
    <s v="purchase of office extension"/>
    <x v="8"/>
    <n v="9900"/>
    <x v="0"/>
    <s v="accountant"/>
    <s v="summary sheet"/>
  </r>
  <r>
    <s v="PCOO450"/>
    <d v="2025-04-24T00:00:00"/>
    <x v="1"/>
    <x v="3"/>
    <s v="Week4"/>
    <s v="purchase of office host"/>
    <x v="5"/>
    <n v="42000"/>
    <x v="1"/>
    <s v="accountant"/>
    <s v="summary sheet"/>
  </r>
  <r>
    <s v="PCOO451"/>
    <d v="2024-04-28T00:00:00"/>
    <x v="0"/>
    <x v="3"/>
    <s v="Week4"/>
    <s v="marketing expenses"/>
    <x v="2"/>
    <n v="13000"/>
    <x v="0"/>
    <s v="accountant"/>
    <s v="summary sheet"/>
  </r>
  <r>
    <s v="PCOO452"/>
    <d v="2025-04-22T00:00:00"/>
    <x v="1"/>
    <x v="3"/>
    <s v="Week4"/>
    <s v="marketing expenses"/>
    <x v="2"/>
    <n v="13000"/>
    <x v="0"/>
    <s v="accountant"/>
    <s v="summary sheet"/>
  </r>
  <r>
    <s v="PCOO453"/>
    <d v="2025-04-28T00:00:00"/>
    <x v="1"/>
    <x v="3"/>
    <s v="Week4"/>
    <s v="purchase  of c_way water"/>
    <x v="0"/>
    <n v="4500"/>
    <x v="0"/>
    <s v="accountant"/>
    <s v="summary sheet"/>
  </r>
  <r>
    <s v="PCOO454"/>
    <d v="2025-04-28T00:00:00"/>
    <x v="1"/>
    <x v="3"/>
    <s v="Week4"/>
    <s v="purchase of fuel  office car"/>
    <x v="3"/>
    <n v="27000"/>
    <x v="0"/>
    <s v="accountant"/>
    <s v="summary sheet"/>
  </r>
  <r>
    <s v="PCOO455"/>
    <d v="2025-04-29T00:00:00"/>
    <x v="1"/>
    <x v="3"/>
    <s v="Week5"/>
    <s v="logistics of parts to &amp;fro"/>
    <x v="4"/>
    <n v="6000"/>
    <x v="0"/>
    <s v="accountant"/>
    <s v="summary sheet"/>
  </r>
  <r>
    <s v="PCOO456"/>
    <d v="2025-04-29T00:00:00"/>
    <x v="1"/>
    <x v="3"/>
    <s v="Week5"/>
    <s v="waste dispoal"/>
    <x v="6"/>
    <n v="10000"/>
    <x v="2"/>
    <s v="accountant"/>
    <s v="summary sheet"/>
  </r>
  <r>
    <s v="PCOO457"/>
    <d v="2025-04-29T00:00:00"/>
    <x v="1"/>
    <x v="3"/>
    <s v="Week5"/>
    <s v="travel expenses"/>
    <x v="2"/>
    <n v="40000"/>
    <x v="1"/>
    <s v="accountant"/>
    <s v="summary sheet"/>
  </r>
  <r>
    <s v="PCOO458"/>
    <d v="2025-04-30T00:00:00"/>
    <x v="1"/>
    <x v="3"/>
    <s v="Week5"/>
    <s v="purchase of fuel  office car"/>
    <x v="3"/>
    <n v="22000"/>
    <x v="0"/>
    <s v="accountant"/>
    <s v="summary sheet"/>
  </r>
  <r>
    <s v="PCOO459"/>
    <d v="2025-04-15T00:00:00"/>
    <x v="1"/>
    <x v="3"/>
    <s v="Week3"/>
    <s v="transport of auditors to &amp;fro"/>
    <x v="4"/>
    <n v="12000"/>
    <x v="2"/>
    <s v="accountant"/>
    <s v="summary sheet"/>
  </r>
  <r>
    <s v="PCOO460"/>
    <d v="2025-04-30T00:00:00"/>
    <x v="1"/>
    <x v="3"/>
    <s v="Week5"/>
    <s v="recharge allowance"/>
    <x v="0"/>
    <n v="5000"/>
    <x v="0"/>
    <s v="accountant"/>
    <s v="summary sheet"/>
  </r>
  <r>
    <s v="PCOO461"/>
    <d v="2025-05-01T00:00:00"/>
    <x v="1"/>
    <x v="4"/>
    <s v="Week1"/>
    <s v="purchase of fuel  office car"/>
    <x v="3"/>
    <n v="25000"/>
    <x v="1"/>
    <s v="accountant"/>
    <s v="summary sheet"/>
  </r>
  <r>
    <s v="PCOO462"/>
    <d v="2025-05-02T00:00:00"/>
    <x v="1"/>
    <x v="4"/>
    <s v="Week1"/>
    <s v="electicity expenses"/>
    <x v="1"/>
    <n v="4000"/>
    <x v="0"/>
    <s v="accountant"/>
    <s v="summary sheet"/>
  </r>
  <r>
    <s v="PCOO463"/>
    <d v="2025-05-05T00:00:00"/>
    <x v="1"/>
    <x v="4"/>
    <s v="Week1"/>
    <s v="marketing expenses"/>
    <x v="2"/>
    <n v="13000"/>
    <x v="2"/>
    <s v="accountant"/>
    <s v="summary sheet"/>
  </r>
  <r>
    <s v="PCOO464"/>
    <d v="2025-05-05T00:00:00"/>
    <x v="1"/>
    <x v="4"/>
    <s v="Week1"/>
    <s v="purchase of fuel  office car"/>
    <x v="3"/>
    <n v="25000"/>
    <x v="1"/>
    <s v="accountant"/>
    <s v="summary sheet"/>
  </r>
  <r>
    <s v="PCOO465"/>
    <d v="2025-05-05T00:00:00"/>
    <x v="1"/>
    <x v="4"/>
    <s v="Week1"/>
    <s v="purchase of fuel  for gen"/>
    <x v="3"/>
    <n v="20000"/>
    <x v="0"/>
    <s v="accountant"/>
    <s v="summary sheet"/>
  </r>
  <r>
    <s v="PCOO466"/>
    <d v="2025-05-06T00:00:00"/>
    <x v="1"/>
    <x v="4"/>
    <s v="Week1"/>
    <s v="electicity expenses"/>
    <x v="1"/>
    <n v="6000"/>
    <x v="0"/>
    <s v="accountant"/>
    <s v="summary sheet"/>
  </r>
  <r>
    <s v="PCOO467"/>
    <d v="2025-05-06T00:00:00"/>
    <x v="1"/>
    <x v="4"/>
    <s v="Week1"/>
    <s v="consumables"/>
    <x v="0"/>
    <n v="116300"/>
    <x v="0"/>
    <s v="accountant"/>
    <s v="summary sheet"/>
  </r>
  <r>
    <s v="PCOO468"/>
    <d v="2025-05-07T00:00:00"/>
    <x v="1"/>
    <x v="4"/>
    <s v="Week1"/>
    <s v="electicity expenses"/>
    <x v="1"/>
    <n v="2000"/>
    <x v="0"/>
    <s v="accountant"/>
    <s v="summary sheet"/>
  </r>
  <r>
    <s v="PCOO469"/>
    <d v="2025-05-02T00:00:00"/>
    <x v="1"/>
    <x v="4"/>
    <s v="Week1"/>
    <s v="internet sub PH 1"/>
    <x v="7"/>
    <n v="24000"/>
    <x v="0"/>
    <s v="accountant"/>
    <s v="summary sheet"/>
  </r>
  <r>
    <s v="PCOO470"/>
    <d v="2025-05-05T00:00:00"/>
    <x v="1"/>
    <x v="4"/>
    <s v="Week1"/>
    <s v="internet sub PH 2"/>
    <x v="7"/>
    <n v="24000"/>
    <x v="0"/>
    <s v="accountant"/>
    <s v="summary sheet"/>
  </r>
  <r>
    <s v="PCOO471"/>
    <d v="2025-05-08T00:00:00"/>
    <x v="1"/>
    <x v="4"/>
    <s v="Week2"/>
    <s v="logistics of parts to &amp;fro"/>
    <x v="4"/>
    <n v="15000"/>
    <x v="0"/>
    <s v="accountant"/>
    <s v="summary sheet"/>
  </r>
  <r>
    <s v="PCOO472"/>
    <d v="2025-05-08T00:00:00"/>
    <x v="1"/>
    <x v="4"/>
    <s v="Week2"/>
    <s v="logistics of parts to  abuja"/>
    <x v="4"/>
    <n v="50000"/>
    <x v="0"/>
    <s v="accountant"/>
    <s v="summary sheet"/>
  </r>
  <r>
    <s v="PCOO473"/>
    <d v="2025-05-12T00:00:00"/>
    <x v="1"/>
    <x v="4"/>
    <s v="Week2"/>
    <s v="marketing expenses"/>
    <x v="2"/>
    <n v="13000"/>
    <x v="0"/>
    <s v="accountant"/>
    <s v="summary sheet"/>
  </r>
  <r>
    <s v="PCOO474"/>
    <d v="2025-05-13T00:00:00"/>
    <x v="1"/>
    <x v="4"/>
    <s v="Week2"/>
    <s v="purchase  of c_way water"/>
    <x v="0"/>
    <n v="4500"/>
    <x v="2"/>
    <s v="accountant"/>
    <s v="summary sheet"/>
  </r>
  <r>
    <s v="PCOO475"/>
    <d v="2025-05-14T00:00:00"/>
    <x v="1"/>
    <x v="4"/>
    <s v="Week2"/>
    <s v="purchase of stationery"/>
    <x v="8"/>
    <n v="60500"/>
    <x v="0"/>
    <s v="accountant"/>
    <s v="summary sheet"/>
  </r>
  <r>
    <s v="PCOO476"/>
    <d v="2025-05-14T00:00:00"/>
    <x v="1"/>
    <x v="4"/>
    <s v="Week2"/>
    <s v="transport to purchase stationery"/>
    <x v="4"/>
    <n v="5000"/>
    <x v="2"/>
    <s v="accountant"/>
    <s v="summary sheet"/>
  </r>
  <r>
    <s v="PCOO477"/>
    <d v="2025-05-15T00:00:00"/>
    <x v="1"/>
    <x v="4"/>
    <s v="Week3"/>
    <s v="general cleaning &amp;fumigation"/>
    <x v="5"/>
    <n v="30000"/>
    <x v="0"/>
    <s v="accountant"/>
    <s v="summary sheet"/>
  </r>
  <r>
    <s v="PCOO478"/>
    <d v="2025-05-06T00:00:00"/>
    <x v="1"/>
    <x v="4"/>
    <s v="Week1"/>
    <s v="recharge allowance"/>
    <x v="0"/>
    <n v="5000"/>
    <x v="2"/>
    <s v="accountant"/>
    <s v="summary sheet"/>
  </r>
  <r>
    <s v="PCOO479"/>
    <d v="2025-05-19T00:00:00"/>
    <x v="1"/>
    <x v="4"/>
    <s v="Week3"/>
    <s v="delivery of parts to lagos"/>
    <x v="4"/>
    <n v="25000"/>
    <x v="0"/>
    <s v="accountant"/>
    <s v="summary sheet"/>
  </r>
  <r>
    <s v="PCOO480"/>
    <d v="2025-05-22T00:00:00"/>
    <x v="1"/>
    <x v="4"/>
    <s v="Week4"/>
    <s v="purchase of fuel  for gen"/>
    <x v="3"/>
    <n v="22000"/>
    <x v="0"/>
    <s v="accountant"/>
    <s v="summary sheet"/>
  </r>
  <r>
    <s v="PCOO481"/>
    <d v="2025-05-22T00:00:00"/>
    <x v="1"/>
    <x v="4"/>
    <s v="Week4"/>
    <s v="offloading of machine"/>
    <x v="9"/>
    <n v="12000"/>
    <x v="2"/>
    <s v="accountant"/>
    <s v="summary sheet"/>
  </r>
  <r>
    <s v="PCOO482"/>
    <d v="2025-05-22T00:00:00"/>
    <x v="1"/>
    <x v="4"/>
    <s v="Week4"/>
    <s v="payment for customs &amp; NPA"/>
    <x v="9"/>
    <n v="105000"/>
    <x v="0"/>
    <s v="accountant"/>
    <s v="summary sheet"/>
  </r>
  <r>
    <s v="PCOO483"/>
    <d v="2025-05-22T00:00:00"/>
    <x v="1"/>
    <x v="4"/>
    <s v="Week4"/>
    <s v="logistic to bori"/>
    <x v="4"/>
    <n v="10000"/>
    <x v="2"/>
    <s v="accountant"/>
    <s v="summary sheet"/>
  </r>
  <r>
    <s v="PCOO484"/>
    <d v="2025-05-26T00:00:00"/>
    <x v="1"/>
    <x v="4"/>
    <s v="Week4"/>
    <s v="electicity expenses"/>
    <x v="1"/>
    <n v="2000"/>
    <x v="2"/>
    <s v="accountant"/>
    <s v="summary sheet"/>
  </r>
  <r>
    <s v="PCOO485"/>
    <d v="2025-05-27T00:00:00"/>
    <x v="1"/>
    <x v="4"/>
    <s v="Week4"/>
    <s v="purchase of engine oil for gen"/>
    <x v="5"/>
    <n v="7800"/>
    <x v="2"/>
    <s v="accountant"/>
    <s v="summary sheet"/>
  </r>
  <r>
    <s v="PCOO486"/>
    <d v="2025-05-28T00:00:00"/>
    <x v="1"/>
    <x v="4"/>
    <s v="Week4"/>
    <s v="logistics for parts delivery to onne"/>
    <x v="4"/>
    <n v="15000"/>
    <x v="2"/>
    <s v="accountant"/>
    <s v="summary sheet"/>
  </r>
  <r>
    <s v="PCOO487"/>
    <d v="2025-05-28T00:00:00"/>
    <x v="1"/>
    <x v="4"/>
    <s v="Week4"/>
    <s v="transport to the bank"/>
    <x v="4"/>
    <n v="3000"/>
    <x v="2"/>
    <s v="accountant"/>
    <s v="summary sheet"/>
  </r>
  <r>
    <s v="PCOO488"/>
    <d v="2025-05-29T00:00:00"/>
    <x v="1"/>
    <x v="4"/>
    <s v="Week5"/>
    <s v="internet sub PH 3"/>
    <x v="7"/>
    <n v="24000"/>
    <x v="0"/>
    <s v="accountant"/>
    <s v="summary sheet"/>
  </r>
  <r>
    <s v="PCOO489"/>
    <d v="2025-05-29T00:00:00"/>
    <x v="1"/>
    <x v="4"/>
    <s v="Week5"/>
    <s v="purchase of fuel for car"/>
    <x v="3"/>
    <n v="22000"/>
    <x v="0"/>
    <s v="accountant"/>
    <s v="summary sheet"/>
  </r>
  <r>
    <s v="PCOO490"/>
    <d v="2025-05-29T00:00:00"/>
    <x v="1"/>
    <x v="4"/>
    <s v="Week5"/>
    <s v="purchase of fuel  for gen"/>
    <x v="3"/>
    <n v="25000"/>
    <x v="0"/>
    <s v="accountant"/>
    <s v="summary sheet"/>
  </r>
  <r>
    <s v="PCOO491"/>
    <d v="2025-05-29T00:00:00"/>
    <x v="1"/>
    <x v="4"/>
    <s v="Week5"/>
    <s v="purchase  of c_way water"/>
    <x v="0"/>
    <n v="4500"/>
    <x v="2"/>
    <s v="accountant"/>
    <s v="summary sheet"/>
  </r>
  <r>
    <s v="PCOO492"/>
    <d v="2025-05-30T00:00:00"/>
    <x v="1"/>
    <x v="4"/>
    <s v="Week5"/>
    <s v="waste dispoal"/>
    <x v="6"/>
    <n v="10000"/>
    <x v="2"/>
    <s v="accountant"/>
    <s v="summary sheet"/>
  </r>
  <r>
    <s v="PCOO493"/>
    <d v="2025-05-30T00:00:00"/>
    <x v="1"/>
    <x v="4"/>
    <s v="Week5"/>
    <s v="bank charges on transaction"/>
    <x v="9"/>
    <n v="3000"/>
    <x v="0"/>
    <s v="accountant"/>
    <s v="summary sheet"/>
  </r>
  <r>
    <s v="PCOO494"/>
    <d v="2025-05-26T00:00:00"/>
    <x v="1"/>
    <x v="4"/>
    <s v="Week4"/>
    <s v="marketing expenses"/>
    <x v="2"/>
    <n v="13000"/>
    <x v="0"/>
    <s v="accountant"/>
    <s v="summary sheet"/>
  </r>
  <r>
    <s v="PCOO495"/>
    <d v="2025-06-02T00:00:00"/>
    <x v="1"/>
    <x v="5"/>
    <s v="Week1"/>
    <s v="marketing expenses"/>
    <x v="2"/>
    <n v="13000"/>
    <x v="0"/>
    <s v="accountant"/>
    <s v="summary sheet"/>
  </r>
  <r>
    <s v="PCOO496"/>
    <d v="2025-06-02T00:00:00"/>
    <x v="1"/>
    <x v="5"/>
    <s v="Week1"/>
    <s v="consumables"/>
    <x v="0"/>
    <n v="129990"/>
    <x v="1"/>
    <s v="accountant"/>
    <s v="summary sheet"/>
  </r>
  <r>
    <s v="PCOO497"/>
    <d v="2025-06-03T00:00:00"/>
    <x v="1"/>
    <x v="5"/>
    <s v="Week1"/>
    <s v="electicity expenses"/>
    <x v="1"/>
    <n v="4000"/>
    <x v="0"/>
    <s v="accountant"/>
    <s v="summary sheet"/>
  </r>
  <r>
    <s v="PCOO498"/>
    <d v="2025-06-04T00:00:00"/>
    <x v="1"/>
    <x v="5"/>
    <s v="Week1"/>
    <s v="purchase of fuel"/>
    <x v="1"/>
    <n v="10000"/>
    <x v="0"/>
    <s v="accountant"/>
    <s v="summary sheet"/>
  </r>
  <r>
    <s v="PCOO499"/>
    <d v="2025-06-05T00:00:00"/>
    <x v="1"/>
    <x v="5"/>
    <s v="Week1"/>
    <s v="techician assistant"/>
    <x v="5"/>
    <n v="60000"/>
    <x v="0"/>
    <s v="accountant"/>
    <s v="summary sheet"/>
  </r>
  <r>
    <s v="PCOO500"/>
    <d v="2025-06-05T00:00:00"/>
    <x v="1"/>
    <x v="5"/>
    <s v="Week1"/>
    <s v="internet sub PH 1"/>
    <x v="7"/>
    <n v="24000"/>
    <x v="0"/>
    <s v="accountant"/>
    <s v="summary sheet"/>
  </r>
  <r>
    <s v="PCOO501"/>
    <d v="2025-06-02T00:00:00"/>
    <x v="1"/>
    <x v="5"/>
    <s v="Week1"/>
    <s v="internet sub PH 2"/>
    <x v="7"/>
    <n v="24000"/>
    <x v="0"/>
    <s v="accountant"/>
    <s v="summary sheet"/>
  </r>
  <r>
    <s v="PCOO502"/>
    <d v="2025-06-04T00:00:00"/>
    <x v="1"/>
    <x v="5"/>
    <s v="Week1"/>
    <s v="flight ticket"/>
    <x v="4"/>
    <n v="2000"/>
    <x v="0"/>
    <s v="accountant"/>
    <s v="summary sheet"/>
  </r>
  <r>
    <s v="PCOO503"/>
    <d v="2025-06-05T00:00:00"/>
    <x v="1"/>
    <x v="5"/>
    <s v="Week1"/>
    <s v="purchase of safety items"/>
    <x v="8"/>
    <n v="95000"/>
    <x v="1"/>
    <s v="accountant"/>
    <s v="summary sheet"/>
  </r>
  <r>
    <s v="PCOO504"/>
    <d v="2025-06-06T00:00:00"/>
    <x v="1"/>
    <x v="5"/>
    <s v="Week1"/>
    <s v="purchase of fuel for maintainace of machine"/>
    <x v="5"/>
    <n v="15000"/>
    <x v="2"/>
    <s v="accountant"/>
    <s v="summary sheet"/>
  </r>
  <r>
    <s v="PCOO505"/>
    <d v="2025-06-06T00:00:00"/>
    <x v="1"/>
    <x v="5"/>
    <s v="Week1"/>
    <s v="transport to buy parts for machine"/>
    <x v="4"/>
    <n v="12000"/>
    <x v="2"/>
    <s v="accountant"/>
    <s v="summary sheet"/>
  </r>
  <r>
    <s v="PCOO506"/>
    <d v="2025-06-09T00:00:00"/>
    <x v="1"/>
    <x v="5"/>
    <s v="Week2"/>
    <s v="purchase of fuel  office car"/>
    <x v="3"/>
    <n v="20000"/>
    <x v="0"/>
    <s v="accountant"/>
    <s v="summary sheet"/>
  </r>
  <r>
    <s v="PCOO507"/>
    <d v="2025-06-13T00:00:00"/>
    <x v="1"/>
    <x v="5"/>
    <s v="Week2"/>
    <s v="techician assistant for machine"/>
    <x v="5"/>
    <n v="72000"/>
    <x v="0"/>
    <s v="accountant"/>
    <s v="summary sheet"/>
  </r>
  <r>
    <s v="PCOO508"/>
    <d v="2025-06-10T00:00:00"/>
    <x v="1"/>
    <x v="5"/>
    <s v="Week2"/>
    <s v="marketing expenses"/>
    <x v="2"/>
    <n v="13000"/>
    <x v="0"/>
    <s v="accountant"/>
    <s v="summary sheet"/>
  </r>
  <r>
    <s v="PCOO509"/>
    <d v="2025-06-10T00:00:00"/>
    <x v="1"/>
    <x v="5"/>
    <s v="Week2"/>
    <s v="purchase  of c_way water"/>
    <x v="0"/>
    <n v="4500"/>
    <x v="2"/>
    <s v="accountant"/>
    <s v="summary sheet"/>
  </r>
  <r>
    <s v="PCOO510"/>
    <d v="2025-06-11T00:00:00"/>
    <x v="1"/>
    <x v="5"/>
    <s v="Week2"/>
    <s v="lunch for technician"/>
    <x v="0"/>
    <n v="11800"/>
    <x v="2"/>
    <s v="accountant"/>
    <s v="summary sheet"/>
  </r>
  <r>
    <s v="PCOO511"/>
    <d v="2025-06-12T00:00:00"/>
    <x v="1"/>
    <x v="5"/>
    <s v="Week2"/>
    <s v="marketing expenses"/>
    <x v="2"/>
    <n v="13000"/>
    <x v="0"/>
    <s v="accountant"/>
    <s v="summary sheet"/>
  </r>
  <r>
    <s v="PCOO512"/>
    <d v="2025-06-15T00:00:00"/>
    <x v="1"/>
    <x v="5"/>
    <s v="Week3"/>
    <s v="purchase of fuel for car"/>
    <x v="3"/>
    <n v="20000"/>
    <x v="1"/>
    <s v="accountant"/>
    <s v="summary sheet"/>
  </r>
  <r>
    <s v="PCOO513"/>
    <d v="2025-06-13T00:00:00"/>
    <x v="1"/>
    <x v="5"/>
    <s v="Week2"/>
    <s v="electicity expenses"/>
    <x v="1"/>
    <n v="3000"/>
    <x v="0"/>
    <s v="accountant"/>
    <s v="summary sheet"/>
  </r>
  <r>
    <s v="PCOO514"/>
    <d v="2025-06-13T00:00:00"/>
    <x v="1"/>
    <x v="5"/>
    <s v="Week2"/>
    <s v="purchase of disel for machine"/>
    <x v="5"/>
    <n v="31000"/>
    <x v="1"/>
    <s v="accountant"/>
    <s v="summary sheet"/>
  </r>
  <r>
    <s v="PCOO515"/>
    <d v="2025-06-16T00:00:00"/>
    <x v="1"/>
    <x v="5"/>
    <s v="Week3"/>
    <s v="marketing expenses"/>
    <x v="2"/>
    <n v="13000"/>
    <x v="0"/>
    <s v="accountant"/>
    <s v="summary sheet"/>
  </r>
  <r>
    <s v="PCOO516"/>
    <d v="2025-06-18T00:00:00"/>
    <x v="1"/>
    <x v="5"/>
    <s v="Week3"/>
    <s v="purchase  of c_way water"/>
    <x v="0"/>
    <n v="4500"/>
    <x v="2"/>
    <s v="accountant"/>
    <s v="summary sheet"/>
  </r>
  <r>
    <s v="PCOO517"/>
    <d v="2025-06-18T00:00:00"/>
    <x v="1"/>
    <x v="5"/>
    <s v="Week3"/>
    <s v="puchase of lunch for technician"/>
    <x v="0"/>
    <n v="22000"/>
    <x v="0"/>
    <s v="accountant"/>
    <s v="summary sheet"/>
  </r>
  <r>
    <s v="PCOO518"/>
    <d v="2025-06-18T00:00:00"/>
    <x v="1"/>
    <x v="5"/>
    <s v="Week3"/>
    <s v="pumpiing of tyre of machine"/>
    <x v="5"/>
    <n v="20000"/>
    <x v="0"/>
    <s v="accountant"/>
    <s v="summary sheet"/>
  </r>
  <r>
    <s v="PCOO519"/>
    <d v="2025-06-18T00:00:00"/>
    <x v="1"/>
    <x v="5"/>
    <s v="Week3"/>
    <s v="purchase of fuel  office car"/>
    <x v="3"/>
    <n v="20000"/>
    <x v="0"/>
    <s v="accountant"/>
    <s v="summary sheet"/>
  </r>
  <r>
    <s v="PCOO520"/>
    <d v="2025-06-19T00:00:00"/>
    <x v="1"/>
    <x v="5"/>
    <s v="Week3"/>
    <s v="purchase of disel for machine"/>
    <x v="5"/>
    <n v="31000"/>
    <x v="0"/>
    <s v="accountant"/>
    <s v="summary sheet"/>
  </r>
  <r>
    <s v="PCOO521"/>
    <d v="2025-05-19T00:00:00"/>
    <x v="1"/>
    <x v="4"/>
    <s v="Week3"/>
    <s v="technician assistant"/>
    <x v="5"/>
    <n v="72000"/>
    <x v="0"/>
    <s v="accountant"/>
    <s v="summary sheet"/>
  </r>
  <r>
    <s v="PCOO522"/>
    <d v="2025-06-20T00:00:00"/>
    <x v="1"/>
    <x v="5"/>
    <s v="Week3"/>
    <s v="purchase of fuel  for gen"/>
    <x v="3"/>
    <n v="15000"/>
    <x v="0"/>
    <s v="accountant"/>
    <s v="summary sheet"/>
  </r>
  <r>
    <s v="PCOO523"/>
    <d v="2025-06-22T00:00:00"/>
    <x v="1"/>
    <x v="5"/>
    <s v="Week4"/>
    <s v="purchase of fuel for car"/>
    <x v="3"/>
    <n v="25000"/>
    <x v="0"/>
    <s v="accountant"/>
    <s v="summary sheet"/>
  </r>
  <r>
    <s v="PCOO524"/>
    <d v="2025-06-23T00:00:00"/>
    <x v="1"/>
    <x v="5"/>
    <s v="Week4"/>
    <s v="purchase of fuel  office car"/>
    <x v="3"/>
    <n v="24000"/>
    <x v="0"/>
    <s v="accountant"/>
    <s v="summary sheet"/>
  </r>
  <r>
    <s v="PCOO525"/>
    <d v="2025-06-23T00:00:00"/>
    <x v="1"/>
    <x v="5"/>
    <s v="Week4"/>
    <s v="marketing expenses"/>
    <x v="2"/>
    <n v="13000"/>
    <x v="0"/>
    <s v="accountant"/>
    <s v="summary sheet"/>
  </r>
  <r>
    <s v="PCOO526"/>
    <d v="2025-06-23T00:00:00"/>
    <x v="1"/>
    <x v="5"/>
    <s v="Week4"/>
    <s v="purchase of fuel  for gen"/>
    <x v="3"/>
    <n v="25000"/>
    <x v="0"/>
    <s v="accountant"/>
    <s v="summary sheet"/>
  </r>
  <r>
    <s v="PCOO527"/>
    <d v="2025-06-16T00:00:00"/>
    <x v="1"/>
    <x v="5"/>
    <s v="Week3"/>
    <s v="clearance  of certificate"/>
    <x v="9"/>
    <n v="12000"/>
    <x v="2"/>
    <s v="accountant"/>
    <s v="summary sheet"/>
  </r>
  <r>
    <s v="PCOO528"/>
    <d v="2025-06-25T00:00:00"/>
    <x v="1"/>
    <x v="5"/>
    <s v="Week4"/>
    <s v="electicity expenses"/>
    <x v="1"/>
    <n v="3000"/>
    <x v="0"/>
    <s v="accountant"/>
    <s v="summary sheet"/>
  </r>
  <r>
    <s v="PCOO529"/>
    <d v="2025-06-26T00:00:00"/>
    <x v="1"/>
    <x v="5"/>
    <s v="Week4"/>
    <s v="purchase of fuel  for gen"/>
    <x v="3"/>
    <n v="22000"/>
    <x v="0"/>
    <s v="accountant"/>
    <s v="summary sheet"/>
  </r>
  <r>
    <s v="PCOO530"/>
    <d v="2025-06-26T00:00:00"/>
    <x v="1"/>
    <x v="5"/>
    <s v="Week4"/>
    <s v="purchase of fuel  office car"/>
    <x v="3"/>
    <n v="20000"/>
    <x v="0"/>
    <s v="accountant"/>
    <s v="summary sheet"/>
  </r>
  <r>
    <s v="PCOO531"/>
    <d v="2025-06-28T00:00:00"/>
    <x v="1"/>
    <x v="5"/>
    <s v="Week4"/>
    <s v="purchase of fuel  office car"/>
    <x v="3"/>
    <n v="20000"/>
    <x v="1"/>
    <s v="accountant"/>
    <s v="summary sheet"/>
  </r>
  <r>
    <s v="PCOO532"/>
    <d v="2025-06-29T00:00:00"/>
    <x v="1"/>
    <x v="5"/>
    <s v="Week5"/>
    <s v="recharge allowance"/>
    <x v="0"/>
    <n v="5000"/>
    <x v="0"/>
    <s v="accountant"/>
    <s v="summary sheet"/>
  </r>
  <r>
    <s v="PCOO533"/>
    <d v="2025-06-29T00:00:00"/>
    <x v="1"/>
    <x v="5"/>
    <s v="Week5"/>
    <s v="internet sub PH 3"/>
    <x v="7"/>
    <n v="20000"/>
    <x v="0"/>
    <s v="accountant"/>
    <s v="summary sheet"/>
  </r>
  <r>
    <s v="PCOO534"/>
    <d v="2025-06-30T00:00:00"/>
    <x v="1"/>
    <x v="5"/>
    <s v="Week5"/>
    <s v="waste dispoal"/>
    <x v="6"/>
    <n v="10000"/>
    <x v="2"/>
    <s v="accountant"/>
    <s v="summary sheet"/>
  </r>
  <r>
    <s v="PCOO535"/>
    <d v="2025-06-30T00:00:00"/>
    <x v="1"/>
    <x v="5"/>
    <s v="Week5"/>
    <s v="marketing expenses"/>
    <x v="2"/>
    <n v="13000"/>
    <x v="0"/>
    <s v="accountant"/>
    <s v="summary sheet"/>
  </r>
  <r>
    <s v="PCOO536"/>
    <d v="2025-06-30T00:00:00"/>
    <x v="1"/>
    <x v="5"/>
    <s v="Week5"/>
    <s v="purchase of fuel  for gen"/>
    <x v="3"/>
    <n v="15000"/>
    <x v="0"/>
    <s v="accountant"/>
    <s v="summary sheet"/>
  </r>
  <r>
    <s v="PCOO537"/>
    <d v="2025-06-30T00:00:00"/>
    <x v="1"/>
    <x v="5"/>
    <s v="Week5"/>
    <s v="purchase  of c_way water"/>
    <x v="0"/>
    <n v="4500"/>
    <x v="0"/>
    <s v="accountant"/>
    <s v="summary sheet"/>
  </r>
  <r>
    <s v="PCOO538"/>
    <d v="2025-07-01T00:00:00"/>
    <x v="1"/>
    <x v="6"/>
    <s v="Week1"/>
    <s v="internet sub PH 1"/>
    <x v="7"/>
    <n v="24000"/>
    <x v="0"/>
    <s v="accountant"/>
    <s v="summary sheet"/>
  </r>
  <r>
    <s v="PCOO539"/>
    <d v="2025-07-01T00:00:00"/>
    <x v="1"/>
    <x v="6"/>
    <s v="Week1"/>
    <s v="chemical cleaning for office cars"/>
    <x v="5"/>
    <n v="9000"/>
    <x v="2"/>
    <s v="accountant"/>
    <s v="summary sheet"/>
  </r>
  <r>
    <s v="PCOO540"/>
    <d v="2025-07-02T00:00:00"/>
    <x v="1"/>
    <x v="6"/>
    <s v="Week1"/>
    <s v="consumables"/>
    <x v="0"/>
    <n v="124470"/>
    <x v="0"/>
    <s v="accountant"/>
    <s v="summary sheet"/>
  </r>
  <r>
    <s v="PCOO541"/>
    <d v="2025-07-02T00:00:00"/>
    <x v="1"/>
    <x v="6"/>
    <s v="Week1"/>
    <s v="logistic of parts to bori"/>
    <x v="4"/>
    <n v="15000"/>
    <x v="0"/>
    <s v="accountant"/>
    <s v="summary sheet"/>
  </r>
  <r>
    <s v="PCOO542"/>
    <d v="2025-07-04T00:00:00"/>
    <x v="1"/>
    <x v="6"/>
    <s v="Week1"/>
    <s v="internet sub PH 2"/>
    <x v="7"/>
    <n v="24000"/>
    <x v="0"/>
    <s v="accountant"/>
    <s v="summary sheet"/>
  </r>
  <r>
    <s v="PCOO543"/>
    <d v="2025-07-07T00:00:00"/>
    <x v="1"/>
    <x v="6"/>
    <s v="Week1"/>
    <s v="marketing expenses"/>
    <x v="2"/>
    <n v="13000"/>
    <x v="0"/>
    <s v="accountant"/>
    <s v="summary sheet"/>
  </r>
  <r>
    <s v="PCOO544"/>
    <d v="2025-07-14T00:00:00"/>
    <x v="1"/>
    <x v="6"/>
    <s v="Week2"/>
    <s v="electicity expenses"/>
    <x v="1"/>
    <n v="3000"/>
    <x v="2"/>
    <s v="accountant"/>
    <s v="summary sheet"/>
  </r>
  <r>
    <s v="PCOO545"/>
    <d v="2025-07-16T00:00:00"/>
    <x v="1"/>
    <x v="6"/>
    <s v="Week3"/>
    <s v="delivery of parts to bori"/>
    <x v="4"/>
    <n v="10000"/>
    <x v="0"/>
    <s v="accountant"/>
    <s v="summary sheet"/>
  </r>
  <r>
    <s v="PCOO546"/>
    <d v="2025-07-18T00:00:00"/>
    <x v="1"/>
    <x v="6"/>
    <s v="Week3"/>
    <s v="flight ticket"/>
    <x v="4"/>
    <n v="3000"/>
    <x v="2"/>
    <s v="accountant"/>
    <s v="summary sheet"/>
  </r>
  <r>
    <s v="PCOO547"/>
    <d v="2025-07-21T00:00:00"/>
    <x v="1"/>
    <x v="6"/>
    <s v="Week3"/>
    <s v="purchase of light 2 bulbs"/>
    <x v="5"/>
    <n v="5000"/>
    <x v="2"/>
    <s v="accountant"/>
    <s v="summary sheet"/>
  </r>
  <r>
    <s v="PCOO548"/>
    <d v="2025-07-22T00:00:00"/>
    <x v="1"/>
    <x v="6"/>
    <s v="Week4"/>
    <s v="purchase of phone for ph office"/>
    <x v="8"/>
    <n v="22000"/>
    <x v="0"/>
    <s v="accountant"/>
    <s v="summary sheet"/>
  </r>
  <r>
    <s v="PCOO549"/>
    <d v="2025-07-22T00:00:00"/>
    <x v="1"/>
    <x v="6"/>
    <s v="Week4"/>
    <s v="purchase of office extension"/>
    <x v="8"/>
    <n v="10000"/>
    <x v="0"/>
    <s v="accountant"/>
    <s v="summary sheet"/>
  </r>
  <r>
    <s v="PCOO550"/>
    <d v="2025-07-23T00:00:00"/>
    <x v="1"/>
    <x v="6"/>
    <s v="Week4"/>
    <s v="stationery"/>
    <x v="8"/>
    <n v="50500"/>
    <x v="0"/>
    <s v="accountant"/>
    <s v="summary sheet"/>
  </r>
  <r>
    <s v="PCOO551"/>
    <d v="2025-07-23T00:00:00"/>
    <x v="1"/>
    <x v="6"/>
    <s v="Week4"/>
    <s v="electicity expenses"/>
    <x v="1"/>
    <n v="5000"/>
    <x v="0"/>
    <s v="accountant"/>
    <s v="summary sheet"/>
  </r>
  <r>
    <s v="PCOO552"/>
    <d v="2025-07-24T00:00:00"/>
    <x v="1"/>
    <x v="6"/>
    <s v="Week4"/>
    <s v="marketing expenses"/>
    <x v="2"/>
    <n v="57600"/>
    <x v="0"/>
    <s v="accountant"/>
    <s v="summary sheet"/>
  </r>
  <r>
    <s v="PCOO553"/>
    <d v="2025-07-15T00:00:00"/>
    <x v="1"/>
    <x v="6"/>
    <s v="Week3"/>
    <s v="recharge allowance"/>
    <x v="0"/>
    <n v="10000"/>
    <x v="0"/>
    <s v="accountant"/>
    <s v="summary sheet"/>
  </r>
  <r>
    <s v="PCOO554"/>
    <d v="2025-07-07T00:00:00"/>
    <x v="1"/>
    <x v="6"/>
    <s v="Week1"/>
    <s v="new office maintainance"/>
    <x v="5"/>
    <n v="60000"/>
    <x v="0"/>
    <s v="accountant"/>
    <s v="summary sheet"/>
  </r>
  <r>
    <s v="PCOO555"/>
    <d v="2025-07-04T00:00:00"/>
    <x v="1"/>
    <x v="6"/>
    <s v="Week1"/>
    <s v="plumbing work for the new office"/>
    <x v="5"/>
    <n v="20000"/>
    <x v="0"/>
    <s v="accountant"/>
    <s v="summary sheet"/>
  </r>
  <r>
    <s v="PCOO556"/>
    <d v="2025-07-08T00:00:00"/>
    <x v="1"/>
    <x v="6"/>
    <s v="Week2"/>
    <s v="logistic of properties to the new office"/>
    <x v="4"/>
    <n v="250000"/>
    <x v="0"/>
    <s v="accountant"/>
    <s v="summary sheet"/>
  </r>
  <r>
    <s v="PCOO557"/>
    <d v="2025-07-10T00:00:00"/>
    <x v="1"/>
    <x v="6"/>
    <s v="Week2"/>
    <s v="electicity expenses"/>
    <x v="1"/>
    <n v="5000"/>
    <x v="0"/>
    <s v="accountant"/>
    <s v="summary sheet"/>
  </r>
  <r>
    <s v="PCOO558"/>
    <d v="2025-07-10T00:00:00"/>
    <x v="1"/>
    <x v="6"/>
    <s v="Week2"/>
    <s v="purchase of mob and battery"/>
    <x v="8"/>
    <n v="10000"/>
    <x v="2"/>
    <s v="accountant"/>
    <s v="summary sheet"/>
  </r>
  <r>
    <s v="PCOO559"/>
    <d v="2025-07-14T00:00:00"/>
    <x v="1"/>
    <x v="6"/>
    <s v="Week2"/>
    <s v="marketing expenses"/>
    <x v="2"/>
    <n v="13000"/>
    <x v="0"/>
    <s v="accountant"/>
    <s v="summary sheet"/>
  </r>
  <r>
    <s v="PCOO560"/>
    <d v="2025-07-14T00:00:00"/>
    <x v="1"/>
    <x v="6"/>
    <s v="Week2"/>
    <s v="purchase  of c_way water extra c-way bottle"/>
    <x v="0"/>
    <n v="10000"/>
    <x v="1"/>
    <s v="accountant"/>
    <s v="summary sheet"/>
  </r>
  <r>
    <s v="PCOO561"/>
    <d v="2025-07-28T00:00:00"/>
    <x v="1"/>
    <x v="6"/>
    <s v="Week4"/>
    <s v="recharge allowance"/>
    <x v="0"/>
    <n v="5000"/>
    <x v="2"/>
    <s v="accountant"/>
    <s v="summary sheet"/>
  </r>
  <r>
    <s v="PCOO562"/>
    <d v="2025-07-28T00:00:00"/>
    <x v="1"/>
    <x v="6"/>
    <s v="Week4"/>
    <s v="electicity expenses"/>
    <x v="1"/>
    <n v="3000"/>
    <x v="0"/>
    <s v="accountant"/>
    <s v="summary sheet"/>
  </r>
  <r>
    <s v="PCOO563"/>
    <d v="2025-07-29T00:00:00"/>
    <x v="1"/>
    <x v="6"/>
    <s v="Week5"/>
    <s v="internet sub PH 1"/>
    <x v="7"/>
    <n v="20000"/>
    <x v="0"/>
    <s v="accountant"/>
    <s v="summary sheet"/>
  </r>
  <r>
    <s v="PCOO564"/>
    <d v="2025-07-30T00:00:00"/>
    <x v="1"/>
    <x v="6"/>
    <s v="Week5"/>
    <s v="purchase of prime pump"/>
    <x v="5"/>
    <n v="175000"/>
    <x v="0"/>
    <s v="accountant"/>
    <s v="summary sheet"/>
  </r>
  <r>
    <s v="PCOO565"/>
    <d v="2025-07-31T00:00:00"/>
    <x v="1"/>
    <x v="6"/>
    <s v="Week5"/>
    <s v="electicity expenses"/>
    <x v="1"/>
    <n v="5000"/>
    <x v="0"/>
    <s v="accountant"/>
    <s v="summary sheet"/>
  </r>
  <r>
    <s v="PCOO566"/>
    <d v="2025-07-31T00:00:00"/>
    <x v="1"/>
    <x v="6"/>
    <s v="Week5"/>
    <s v="purchase of c_way water"/>
    <x v="0"/>
    <n v="6000"/>
    <x v="0"/>
    <s v="accountant"/>
    <s v="summary sheet"/>
  </r>
  <r>
    <s v="PCOO567"/>
    <d v="2025-07-04T00:00:00"/>
    <x v="1"/>
    <x v="6"/>
    <s v="Week1"/>
    <s v="marketing expenses"/>
    <x v="2"/>
    <n v="13000"/>
    <x v="0"/>
    <s v="accountant"/>
    <s v="summary sheet"/>
  </r>
  <r>
    <s v="PCOO568"/>
    <d v="2025-08-01T00:00:00"/>
    <x v="1"/>
    <x v="7"/>
    <s v="Week1"/>
    <s v="internet sub PH 2"/>
    <x v="7"/>
    <n v="24000"/>
    <x v="0"/>
    <s v="accountant"/>
    <s v="summary sheet"/>
  </r>
  <r>
    <s v="PCOO569"/>
    <d v="2025-08-04T00:00:00"/>
    <x v="1"/>
    <x v="7"/>
    <s v="Week1"/>
    <s v="internet sub PH 3"/>
    <x v="7"/>
    <n v="24000"/>
    <x v="0"/>
    <s v="accountant"/>
    <s v="summary sheet"/>
  </r>
  <r>
    <s v="PCOO570"/>
    <d v="2025-08-04T00:00:00"/>
    <x v="1"/>
    <x v="7"/>
    <s v="Week1"/>
    <s v="marketing expenses"/>
    <x v="2"/>
    <n v="13000"/>
    <x v="0"/>
    <s v="accountant"/>
    <s v="summary sheet"/>
  </r>
  <r>
    <s v="PCOO571"/>
    <d v="2025-08-05T00:00:00"/>
    <x v="1"/>
    <x v="7"/>
    <s v="Week1"/>
    <s v="delivery of parts to bori"/>
    <x v="4"/>
    <n v="12000"/>
    <x v="0"/>
    <s v="accountant"/>
    <s v="summary sheet"/>
  </r>
  <r>
    <s v="PCOO572"/>
    <d v="2025-08-05T00:00:00"/>
    <x v="1"/>
    <x v="7"/>
    <s v="Week1"/>
    <s v="purchase of runall battery"/>
    <x v="8"/>
    <n v="135000"/>
    <x v="0"/>
    <s v="accountant"/>
    <s v="summary sheet"/>
  </r>
  <r>
    <s v="PCOO573"/>
    <d v="2025-08-06T00:00:00"/>
    <x v="1"/>
    <x v="7"/>
    <s v="Week1"/>
    <s v="electicity expenses"/>
    <x v="1"/>
    <n v="4000"/>
    <x v="0"/>
    <s v="accountant"/>
    <s v="summary sheet"/>
  </r>
  <r>
    <s v="PCOO574"/>
    <d v="2025-08-08T00:00:00"/>
    <x v="1"/>
    <x v="7"/>
    <s v="Week2"/>
    <s v="delivery of parts to bori"/>
    <x v="4"/>
    <n v="8000"/>
    <x v="0"/>
    <s v="accountant"/>
    <s v="summary sheet"/>
  </r>
  <r>
    <s v="PCOO575"/>
    <d v="2025-08-08T00:00:00"/>
    <x v="1"/>
    <x v="7"/>
    <s v="Week2"/>
    <s v="consumables"/>
    <x v="0"/>
    <n v="123760"/>
    <x v="0"/>
    <s v="accountant"/>
    <s v="summary sheet"/>
  </r>
  <r>
    <s v="PCOO576"/>
    <d v="2025-08-10T00:00:00"/>
    <x v="1"/>
    <x v="7"/>
    <s v="Week2"/>
    <s v="purchase of fuel  office car"/>
    <x v="3"/>
    <n v="4700"/>
    <x v="0"/>
    <s v="accountant"/>
    <s v="summary sheet"/>
  </r>
  <r>
    <s v="PCOO577"/>
    <d v="2025-08-11T00:00:00"/>
    <x v="1"/>
    <x v="7"/>
    <s v="Week2"/>
    <s v="marketing expenses"/>
    <x v="2"/>
    <n v="13000"/>
    <x v="0"/>
    <s v="accountant"/>
    <s v="summary sheet"/>
  </r>
  <r>
    <s v="PCOO578"/>
    <d v="2025-08-14T00:00:00"/>
    <x v="1"/>
    <x v="7"/>
    <s v="Week2"/>
    <s v="purchase of fuel  office car"/>
    <x v="3"/>
    <n v="18000"/>
    <x v="1"/>
    <s v="accountant"/>
    <s v="summary sheet"/>
  </r>
  <r>
    <s v="PCOO579"/>
    <d v="2025-08-14T00:00:00"/>
    <x v="1"/>
    <x v="7"/>
    <s v="Week2"/>
    <s v="entry to onne"/>
    <x v="9"/>
    <n v="5000"/>
    <x v="2"/>
    <s v="accountant"/>
    <s v="summary sheet"/>
  </r>
  <r>
    <s v="PCOO580"/>
    <d v="2025-08-18T00:00:00"/>
    <x v="1"/>
    <x v="7"/>
    <s v="Week3"/>
    <s v="electicity expenses"/>
    <x v="1"/>
    <n v="5000"/>
    <x v="0"/>
    <s v="accountant"/>
    <s v="summary sheet"/>
  </r>
  <r>
    <s v="PCOO581"/>
    <d v="2025-08-18T00:00:00"/>
    <x v="1"/>
    <x v="7"/>
    <s v="Week3"/>
    <s v="marketing expenses"/>
    <x v="2"/>
    <n v="13000"/>
    <x v="0"/>
    <s v="accountant"/>
    <s v="summary sheet"/>
  </r>
  <r>
    <s v="PCOO582"/>
    <d v="2025-08-18T00:00:00"/>
    <x v="1"/>
    <x v="7"/>
    <s v="Week3"/>
    <s v="purchase of c_way water"/>
    <x v="0"/>
    <n v="6000"/>
    <x v="2"/>
    <s v="accountant"/>
    <s v="summary sheet"/>
  </r>
  <r>
    <s v="PCOO583"/>
    <d v="2025-08-19T00:00:00"/>
    <x v="1"/>
    <x v="7"/>
    <s v="Week3"/>
    <s v="purchase of return fuel valve"/>
    <x v="5"/>
    <n v="18000"/>
    <x v="2"/>
    <s v="accountant"/>
    <s v="summary sheet"/>
  </r>
  <r>
    <s v="PCOO584"/>
    <d v="2025-08-20T00:00:00"/>
    <x v="1"/>
    <x v="7"/>
    <s v="Week3"/>
    <s v="purchase of CPM papers for   office car"/>
    <x v="5"/>
    <n v="13000"/>
    <x v="0"/>
    <s v="accountant"/>
    <s v="summary sheet"/>
  </r>
  <r>
    <s v="PCOO585"/>
    <d v="2025-08-25T00:00:00"/>
    <x v="1"/>
    <x v="7"/>
    <s v="Week4"/>
    <s v="purchase of office gen plug"/>
    <x v="5"/>
    <n v="5000"/>
    <x v="0"/>
    <s v="accountant"/>
    <s v="summary sheet"/>
  </r>
  <r>
    <s v="PCOO586"/>
    <d v="2025-08-25T00:00:00"/>
    <x v="1"/>
    <x v="7"/>
    <s v="Week4"/>
    <s v="delivery of parts to bori"/>
    <x v="4"/>
    <n v="10000"/>
    <x v="2"/>
    <s v="accountant"/>
    <s v="summary sheet"/>
  </r>
  <r>
    <s v="PCOO587"/>
    <d v="2025-08-27T00:00:00"/>
    <x v="1"/>
    <x v="7"/>
    <s v="Week4"/>
    <s v="purchase of fuel  office car"/>
    <x v="3"/>
    <n v="22000"/>
    <x v="2"/>
    <s v="accountant"/>
    <s v="summary sheet"/>
  </r>
  <r>
    <s v="PCOO588"/>
    <d v="2025-08-27T00:00:00"/>
    <x v="1"/>
    <x v="7"/>
    <s v="Week4"/>
    <s v="recharge allowance"/>
    <x v="0"/>
    <n v="5000"/>
    <x v="0"/>
    <s v="accountant"/>
    <s v="summary sheet"/>
  </r>
  <r>
    <s v="PCOO589"/>
    <d v="2025-08-29T00:00:00"/>
    <x v="1"/>
    <x v="7"/>
    <s v="Week5"/>
    <s v="internet sub PH 1"/>
    <x v="7"/>
    <n v="20000"/>
    <x v="0"/>
    <s v="accountant"/>
    <s v="summary sheet"/>
  </r>
  <r>
    <s v="PCOO590"/>
    <d v="2025-09-01T00:00:00"/>
    <x v="1"/>
    <x v="8"/>
    <s v="Week1"/>
    <s v="purchase of fuel  for gen"/>
    <x v="3"/>
    <n v="15000"/>
    <x v="0"/>
    <s v="accountant"/>
    <s v="summary sheet"/>
  </r>
  <r>
    <s v="PCOO591"/>
    <d v="2025-09-01T00:00:00"/>
    <x v="1"/>
    <x v="8"/>
    <s v="Week1"/>
    <s v="consumables"/>
    <x v="0"/>
    <n v="125640"/>
    <x v="1"/>
    <s v="accountant"/>
    <s v="summary sheet"/>
  </r>
  <r>
    <s v="PCOO592"/>
    <d v="2025-09-01T00:00:00"/>
    <x v="1"/>
    <x v="8"/>
    <s v="Week1"/>
    <s v="marketing expenses"/>
    <x v="2"/>
    <n v="13000"/>
    <x v="0"/>
    <s v="accountant"/>
    <s v="summary sheet"/>
  </r>
  <r>
    <s v="PCOO593"/>
    <d v="2025-09-01T00:00:00"/>
    <x v="1"/>
    <x v="8"/>
    <s v="Week1"/>
    <s v="internet sub PH 2"/>
    <x v="7"/>
    <n v="24000"/>
    <x v="0"/>
    <s v="accountant"/>
    <s v="summary sheet"/>
  </r>
  <r>
    <s v="PCOO594"/>
    <d v="2025-09-02T00:00:00"/>
    <x v="1"/>
    <x v="8"/>
    <s v="Week1"/>
    <s v="internet sub PH 3"/>
    <x v="7"/>
    <n v="24000"/>
    <x v="0"/>
    <s v="accountant"/>
    <s v="summary sheet"/>
  </r>
  <r>
    <s v="PCOO595"/>
    <d v="2025-09-04T00:00:00"/>
    <x v="1"/>
    <x v="8"/>
    <s v="Week1"/>
    <s v="logistic to&amp;fro to the bank"/>
    <x v="4"/>
    <n v="5000"/>
    <x v="0"/>
    <s v="accountant"/>
    <s v="summary sheet"/>
  </r>
  <r>
    <s v="PCOO596"/>
    <d v="2025-09-08T00:00:00"/>
    <x v="1"/>
    <x v="8"/>
    <s v="Week2"/>
    <s v="marketing expenses"/>
    <x v="2"/>
    <n v="13000"/>
    <x v="0"/>
    <s v="accountant"/>
    <s v="summary sheet"/>
  </r>
  <r>
    <s v="PCOO597"/>
    <d v="2025-09-08T00:00:00"/>
    <x v="1"/>
    <x v="8"/>
    <s v="Week2"/>
    <s v="purchase of c_way water"/>
    <x v="0"/>
    <n v="6000"/>
    <x v="0"/>
    <s v="accountant"/>
    <s v="summary sheet"/>
  </r>
  <r>
    <s v="PCOO598"/>
    <d v="2025-09-08T00:00:00"/>
    <x v="1"/>
    <x v="8"/>
    <s v="Week2"/>
    <s v="repair of office desk"/>
    <x v="5"/>
    <n v="3000"/>
    <x v="0"/>
    <s v="accountant"/>
    <s v="summary sheet"/>
  </r>
  <r>
    <s v="PCOO599"/>
    <d v="2025-09-14T00:00:00"/>
    <x v="1"/>
    <x v="8"/>
    <s v="Week2"/>
    <s v="electicity expenses"/>
    <x v="1"/>
    <n v="4000"/>
    <x v="0"/>
    <s v="accountant"/>
    <s v="summary sheet"/>
  </r>
  <r>
    <s v="PCOO600"/>
    <d v="2025-09-15T00:00:00"/>
    <x v="1"/>
    <x v="8"/>
    <s v="Week3"/>
    <s v="marketing expenses"/>
    <x v="2"/>
    <n v="13000"/>
    <x v="0"/>
    <s v="accountant"/>
    <s v="summary sheet"/>
  </r>
  <r>
    <s v="PCOO601"/>
    <d v="2025-09-16T00:00:00"/>
    <x v="1"/>
    <x v="8"/>
    <s v="Week3"/>
    <s v="delivery of parts to bori"/>
    <x v="4"/>
    <n v="15000"/>
    <x v="2"/>
    <s v="accountant"/>
    <s v="summary sheet"/>
  </r>
  <r>
    <s v="PCOO602"/>
    <d v="2025-09-17T00:00:00"/>
    <x v="1"/>
    <x v="8"/>
    <s v="Week3"/>
    <s v="electicity expenses"/>
    <x v="1"/>
    <n v="5000"/>
    <x v="0"/>
    <s v="accountant"/>
    <s v="summary sheet"/>
  </r>
  <r>
    <s v="PCOO603"/>
    <d v="2025-09-03T00:00:00"/>
    <x v="1"/>
    <x v="8"/>
    <s v="Week1"/>
    <s v="recharge allowance"/>
    <x v="0"/>
    <n v="10000"/>
    <x v="0"/>
    <s v="accountant"/>
    <s v="summary sheet"/>
  </r>
  <r>
    <s v="PCOO604"/>
    <d v="2025-09-22T00:00:00"/>
    <x v="1"/>
    <x v="8"/>
    <s v="Week4"/>
    <s v="marketing expenses"/>
    <x v="2"/>
    <n v="13000"/>
    <x v="0"/>
    <s v="accountant"/>
    <s v="summary sheet"/>
  </r>
  <r>
    <s v="PCOO605"/>
    <d v="2025-09-23T00:00:00"/>
    <x v="1"/>
    <x v="8"/>
    <s v="Week4"/>
    <s v="purchase of c_way water"/>
    <x v="0"/>
    <n v="6000"/>
    <x v="0"/>
    <s v="accountant"/>
    <s v="summary sheet"/>
  </r>
  <r>
    <s v="PCOO606"/>
    <d v="2025-09-23T00:00:00"/>
    <x v="1"/>
    <x v="8"/>
    <s v="Week4"/>
    <s v="delivery of parts to bori"/>
    <x v="4"/>
    <n v="15000"/>
    <x v="1"/>
    <s v="accountant"/>
    <s v="summary sheet"/>
  </r>
  <r>
    <s v="PCOO607"/>
    <d v="2025-09-24T00:00:00"/>
    <x v="1"/>
    <x v="8"/>
    <s v="Week4"/>
    <s v="tranport to lokoja state revenue"/>
    <x v="4"/>
    <n v="5000"/>
    <x v="0"/>
    <s v="accountant"/>
    <s v="summary sheet"/>
  </r>
  <r>
    <s v="PCOO608"/>
    <d v="2025-09-24T00:00:00"/>
    <x v="1"/>
    <x v="8"/>
    <s v="Week4"/>
    <s v="delivery of parts to onne"/>
    <x v="4"/>
    <n v="12000"/>
    <x v="0"/>
    <s v="accountant"/>
    <s v="summary sheet"/>
  </r>
  <r>
    <s v="PCOO609"/>
    <d v="2025-09-29T00:00:00"/>
    <x v="1"/>
    <x v="8"/>
    <s v="Week5"/>
    <s v="marketing expenses"/>
    <x v="2"/>
    <n v="13000"/>
    <x v="0"/>
    <s v="accountant"/>
    <s v="summary sheet"/>
  </r>
  <r>
    <s v="PCOO610"/>
    <d v="2025-09-30T00:00:00"/>
    <x v="1"/>
    <x v="8"/>
    <s v="Week5"/>
    <s v="recharge allowance"/>
    <x v="0"/>
    <n v="5000"/>
    <x v="0"/>
    <s v="accountant"/>
    <s v="summary sheet"/>
  </r>
  <r>
    <s v="PCOO611"/>
    <d v="2025-09-29T00:00:00"/>
    <x v="1"/>
    <x v="8"/>
    <s v="Week5"/>
    <s v="internet sub PH 1"/>
    <x v="7"/>
    <n v="20000"/>
    <x v="0"/>
    <s v="accountant"/>
    <s v="summary sheet"/>
  </r>
  <r>
    <s v="PCOO612"/>
    <d v="2025-09-30T00:00:00"/>
    <x v="1"/>
    <x v="8"/>
    <s v="Week5"/>
    <s v="purchase of fuel  office car"/>
    <x v="3"/>
    <n v="22000"/>
    <x v="1"/>
    <s v="accountant"/>
    <s v="summary sheet"/>
  </r>
  <r>
    <s v="PCOO613"/>
    <d v="2025-10-02T00:00:00"/>
    <x v="1"/>
    <x v="9"/>
    <s v="Week1"/>
    <s v="internet sub PH 2"/>
    <x v="7"/>
    <n v="24000"/>
    <x v="0"/>
    <s v="accountant"/>
    <s v="summary sheet"/>
  </r>
  <r>
    <s v="PCOO614"/>
    <d v="2025-10-03T00:00:00"/>
    <x v="1"/>
    <x v="9"/>
    <s v="Week1"/>
    <s v="electicity expenses"/>
    <x v="1"/>
    <n v="4000"/>
    <x v="0"/>
    <s v="accountant"/>
    <s v="summary sheet"/>
  </r>
  <r>
    <s v="PCOO615"/>
    <d v="2025-10-04T00:00:00"/>
    <x v="1"/>
    <x v="9"/>
    <s v="Week1"/>
    <s v="purchase of fuel  office car"/>
    <x v="3"/>
    <n v="22000"/>
    <x v="0"/>
    <s v="accountant"/>
    <s v="summary sheet"/>
  </r>
  <r>
    <s v="PCOO616"/>
    <d v="2025-10-06T00:00:00"/>
    <x v="1"/>
    <x v="9"/>
    <s v="Week1"/>
    <s v="internet sub PH 3"/>
    <x v="7"/>
    <n v="24000"/>
    <x v="0"/>
    <s v="accountant"/>
    <s v="summary sheet"/>
  </r>
  <r>
    <s v="PCOO617"/>
    <d v="2025-09-29T00:00:00"/>
    <x v="1"/>
    <x v="8"/>
    <s v="Week5"/>
    <s v="purchase of fuel  office car"/>
    <x v="3"/>
    <n v="22000"/>
    <x v="0"/>
    <s v="accountant"/>
    <s v="summary sheet"/>
  </r>
  <r>
    <s v="PCOO618"/>
    <d v="2025-10-06T00:00:00"/>
    <x v="1"/>
    <x v="9"/>
    <s v="Week1"/>
    <s v="consumables"/>
    <x v="0"/>
    <n v="124330"/>
    <x v="1"/>
    <s v="accountant"/>
    <s v="summary sheet"/>
  </r>
  <r>
    <s v="PCOO619"/>
    <d v="2025-10-06T00:00:00"/>
    <x v="1"/>
    <x v="9"/>
    <s v="Week1"/>
    <s v="marketing expenses"/>
    <x v="2"/>
    <n v="13000"/>
    <x v="0"/>
    <s v="accountant"/>
    <s v="summary sheet"/>
  </r>
  <r>
    <s v="PCOO620"/>
    <d v="2025-10-07T00:00:00"/>
    <x v="1"/>
    <x v="9"/>
    <s v="Week1"/>
    <s v="purchase of fuel  office car"/>
    <x v="3"/>
    <n v="22000"/>
    <x v="0"/>
    <s v="accountant"/>
    <s v="summary sheet"/>
  </r>
  <r>
    <s v="PCOO621"/>
    <d v="2025-10-09T00:00:00"/>
    <x v="1"/>
    <x v="9"/>
    <s v="Week2"/>
    <s v="electicity expenses"/>
    <x v="1"/>
    <n v="5000"/>
    <x v="0"/>
    <s v="accountant"/>
    <s v="summary sheet"/>
  </r>
  <r>
    <s v="PCOO622"/>
    <d v="2025-10-10T00:00:00"/>
    <x v="1"/>
    <x v="9"/>
    <s v="Week2"/>
    <s v="delivery of parts to bori"/>
    <x v="4"/>
    <n v="13000"/>
    <x v="2"/>
    <s v="accountant"/>
    <s v="summary sheet"/>
  </r>
  <r>
    <s v="PCOO623"/>
    <d v="2025-10-13T00:00:00"/>
    <x v="1"/>
    <x v="9"/>
    <s v="Week2"/>
    <s v="marketing expenses"/>
    <x v="2"/>
    <n v="76800"/>
    <x v="0"/>
    <s v="accountant"/>
    <s v="summary sheet"/>
  </r>
  <r>
    <s v="PCOO624"/>
    <d v="2025-10-17T00:00:00"/>
    <x v="1"/>
    <x v="9"/>
    <s v="Week3"/>
    <s v="electicity expenses"/>
    <x v="1"/>
    <n v="15000"/>
    <x v="0"/>
    <s v="accountant"/>
    <s v="summary sheet"/>
  </r>
  <r>
    <s v="PCOO625"/>
    <d v="2025-10-20T00:00:00"/>
    <x v="1"/>
    <x v="9"/>
    <s v="Week3"/>
    <s v="purchase of c_way water"/>
    <x v="0"/>
    <n v="6000"/>
    <x v="2"/>
    <s v="accountant"/>
    <s v="summary sheet"/>
  </r>
  <r>
    <s v="PCOO626"/>
    <d v="2025-10-21T00:00:00"/>
    <x v="1"/>
    <x v="9"/>
    <s v="Week3"/>
    <s v="flight ticket"/>
    <x v="4"/>
    <n v="2000"/>
    <x v="2"/>
    <s v="accountant"/>
    <s v="summary sheet"/>
  </r>
  <r>
    <s v="PCOO627"/>
    <d v="2025-10-22T00:00:00"/>
    <x v="1"/>
    <x v="9"/>
    <s v="Week4"/>
    <s v="delivery of parts to abia"/>
    <x v="4"/>
    <n v="8000"/>
    <x v="0"/>
    <s v="accountant"/>
    <s v="summary sheet"/>
  </r>
  <r>
    <s v="PCOO628"/>
    <d v="2025-10-27T00:00:00"/>
    <x v="1"/>
    <x v="9"/>
    <s v="Week4"/>
    <s v="fixing of office chair"/>
    <x v="5"/>
    <n v="7500"/>
    <x v="0"/>
    <s v="accountant"/>
    <s v="summary sheet"/>
  </r>
  <r>
    <s v="PCOO629"/>
    <d v="2025-10-27T00:00:00"/>
    <x v="1"/>
    <x v="9"/>
    <s v="Week4"/>
    <s v="marketing expenses"/>
    <x v="2"/>
    <n v="13000"/>
    <x v="0"/>
    <s v="accountant"/>
    <s v="summary sheet"/>
  </r>
  <r>
    <s v="PCOO630"/>
    <d v="2025-10-28T00:00:00"/>
    <x v="1"/>
    <x v="9"/>
    <s v="Week4"/>
    <s v="stationery"/>
    <x v="8"/>
    <n v="53450"/>
    <x v="0"/>
    <s v="accountant"/>
    <s v="summary sheet"/>
  </r>
  <r>
    <s v="PCOO631"/>
    <d v="2025-10-28T00:00:00"/>
    <x v="1"/>
    <x v="9"/>
    <s v="Week4"/>
    <s v="internet sub PH 1"/>
    <x v="7"/>
    <n v="20000"/>
    <x v="0"/>
    <s v="accountant"/>
    <s v="summary sheet"/>
  </r>
  <r>
    <s v="PCOO632"/>
    <d v="2025-10-22T00:00:00"/>
    <x v="1"/>
    <x v="9"/>
    <s v="Week4"/>
    <s v="electicity expenses"/>
    <x v="1"/>
    <n v="4000"/>
    <x v="0"/>
    <s v="accountant"/>
    <s v="summary sheet"/>
  </r>
  <r>
    <s v="PCOO633"/>
    <d v="2025-11-01T00:00:00"/>
    <x v="1"/>
    <x v="10"/>
    <s v="Week1"/>
    <s v="electicity expenses"/>
    <x v="1"/>
    <n v="4000"/>
    <x v="0"/>
    <s v="accountant"/>
    <s v="summary sheet"/>
  </r>
  <r>
    <s v="PCOO634"/>
    <d v="2025-11-03T00:00:00"/>
    <x v="1"/>
    <x v="10"/>
    <s v="Week1"/>
    <s v="marketing expenses"/>
    <x v="2"/>
    <n v="13000"/>
    <x v="0"/>
    <s v="accountant"/>
    <s v="summary sheet"/>
  </r>
  <r>
    <s v="PCOO635"/>
    <d v="2025-11-03T00:00:00"/>
    <x v="1"/>
    <x v="10"/>
    <s v="Week1"/>
    <s v="internet sub PH 2"/>
    <x v="7"/>
    <n v="24000"/>
    <x v="0"/>
    <s v="accountant"/>
    <s v="summary sheet"/>
  </r>
  <r>
    <s v="PCOO636"/>
    <d v="2025-11-03T00:00:00"/>
    <x v="1"/>
    <x v="10"/>
    <s v="Week1"/>
    <s v="internet sub PH 3"/>
    <x v="7"/>
    <n v="24000"/>
    <x v="0"/>
    <s v="accountant"/>
    <s v="summary sheet"/>
  </r>
  <r>
    <s v="PCOO637"/>
    <d v="2025-11-04T00:00:00"/>
    <x v="1"/>
    <x v="10"/>
    <s v="Week1"/>
    <s v="purchase of gen plug"/>
    <x v="5"/>
    <n v="3500"/>
    <x v="2"/>
    <s v="accountant"/>
    <s v="summary sheet"/>
  </r>
  <r>
    <s v="PCOO638"/>
    <d v="2025-11-05T00:00:00"/>
    <x v="1"/>
    <x v="10"/>
    <s v="Week1"/>
    <s v="recharge allowance"/>
    <x v="0"/>
    <n v="5000"/>
    <x v="0"/>
    <s v="accountant"/>
    <s v="summary sheet"/>
  </r>
  <r>
    <s v="PCOO639"/>
    <d v="2025-11-10T00:00:00"/>
    <x v="1"/>
    <x v="10"/>
    <s v="Week2"/>
    <s v="marketing expenses"/>
    <x v="2"/>
    <n v="13000"/>
    <x v="0"/>
    <s v="accountant"/>
    <s v="summary sheet"/>
  </r>
  <r>
    <s v="PCOO640"/>
    <d v="2025-11-11T00:00:00"/>
    <x v="1"/>
    <x v="10"/>
    <s v="Week2"/>
    <s v="purchase of c_way water"/>
    <x v="0"/>
    <n v="6000"/>
    <x v="0"/>
    <s v="accountant"/>
    <s v="summary sheet"/>
  </r>
  <r>
    <s v="PCOO641"/>
    <d v="2025-11-12T00:00:00"/>
    <x v="1"/>
    <x v="10"/>
    <s v="Week2"/>
    <s v="marketing expenses"/>
    <x v="2"/>
    <n v="57600"/>
    <x v="0"/>
    <s v="accountant"/>
    <s v="summary sheet"/>
  </r>
  <r>
    <s v="PCOO642"/>
    <d v="2025-11-18T00:00:00"/>
    <x v="1"/>
    <x v="10"/>
    <s v="Week3"/>
    <s v="purchase of office cleaning materials"/>
    <x v="5"/>
    <n v="7000"/>
    <x v="2"/>
    <s v="accountant"/>
    <s v="summary sheet"/>
  </r>
  <r>
    <s v="PCOO643"/>
    <d v="2025-11-14T00:00:00"/>
    <x v="1"/>
    <x v="10"/>
    <s v="Week2"/>
    <s v="recharge allowance"/>
    <x v="0"/>
    <n v="10000"/>
    <x v="0"/>
    <s v="accountant"/>
    <s v="summary sheet"/>
  </r>
  <r>
    <s v="PCOO644"/>
    <d v="2025-11-17T00:00:00"/>
    <x v="1"/>
    <x v="10"/>
    <s v="Week3"/>
    <s v="electicity expenses"/>
    <x v="1"/>
    <n v="15000"/>
    <x v="0"/>
    <s v="accountant"/>
    <s v="summary sheet"/>
  </r>
  <r>
    <s v="PCOO645"/>
    <d v="2025-11-18T00:00:00"/>
    <x v="1"/>
    <x v="10"/>
    <s v="Week3"/>
    <s v="electicity expenses"/>
    <x v="1"/>
    <n v="10000"/>
    <x v="0"/>
    <s v="accountant"/>
    <s v="summary sheet"/>
  </r>
  <r>
    <s v="PCOO646"/>
    <d v="2025-11-19T00:00:00"/>
    <x v="1"/>
    <x v="10"/>
    <s v="Week3"/>
    <s v="delivery of engine oil to bori"/>
    <x v="4"/>
    <n v="10000"/>
    <x v="2"/>
    <s v="accountant"/>
    <s v="summary sheet"/>
  </r>
  <r>
    <s v="PCOO647"/>
    <d v="2025-11-24T00:00:00"/>
    <x v="1"/>
    <x v="10"/>
    <s v="Week4"/>
    <s v="marketing expenses"/>
    <x v="2"/>
    <n v="13000"/>
    <x v="0"/>
    <s v="accountant"/>
    <s v="summary sheet"/>
  </r>
  <r>
    <s v="PCOO648"/>
    <d v="2025-11-24T00:00:00"/>
    <x v="1"/>
    <x v="10"/>
    <s v="Week4"/>
    <s v="purchase of c_way water"/>
    <x v="0"/>
    <n v="6000"/>
    <x v="0"/>
    <s v="accountant"/>
    <s v="summary sheet"/>
  </r>
  <r>
    <s v="PCOO649"/>
    <d v="2025-11-25T00:00:00"/>
    <x v="1"/>
    <x v="10"/>
    <s v="Week4"/>
    <s v="repair and payment of office car tyre"/>
    <x v="5"/>
    <n v="5000"/>
    <x v="2"/>
    <s v="accountant"/>
    <s v="summary sheet"/>
  </r>
  <r>
    <s v="PCOO650"/>
    <d v="2025-11-26T00:00:00"/>
    <x v="1"/>
    <x v="10"/>
    <s v="Week4"/>
    <s v="purchase of fuel  office car"/>
    <x v="3"/>
    <n v="22000"/>
    <x v="0"/>
    <s v="accountant"/>
    <s v="summary sheet"/>
  </r>
  <r>
    <s v="PCOO651"/>
    <d v="2025-11-27T00:00:00"/>
    <x v="1"/>
    <x v="10"/>
    <s v="Week4"/>
    <s v="recharge allowance"/>
    <x v="0"/>
    <n v="5000"/>
    <x v="0"/>
    <s v="accountant"/>
    <s v="summary sheet"/>
  </r>
  <r>
    <s v="PCOO652"/>
    <d v="2025-11-27T00:00:00"/>
    <x v="1"/>
    <x v="10"/>
    <s v="Week4"/>
    <s v="purchase of fuel for  gen"/>
    <x v="3"/>
    <n v="25000"/>
    <x v="0"/>
    <s v="accountant"/>
    <s v="summary sheet"/>
  </r>
  <r>
    <s v="PCOO653"/>
    <d v="2025-11-27T00:00:00"/>
    <x v="1"/>
    <x v="10"/>
    <s v="Week4"/>
    <s v="refresement for LIRS team"/>
    <x v="0"/>
    <n v="35000"/>
    <x v="1"/>
    <s v="accountant"/>
    <s v="summary sheet"/>
  </r>
  <r>
    <s v="PCOO654"/>
    <d v="2025-11-28T00:00:00"/>
    <x v="1"/>
    <x v="10"/>
    <s v="Week4"/>
    <s v="purchase of blind and installation"/>
    <x v="5"/>
    <n v="50000"/>
    <x v="1"/>
    <s v="accountant"/>
    <s v="summary sheet"/>
  </r>
  <r>
    <s v="PCOO655"/>
    <d v="2025-11-28T00:00:00"/>
    <x v="1"/>
    <x v="10"/>
    <s v="Week4"/>
    <s v="purchase of office drum"/>
    <x v="9"/>
    <n v="15000"/>
    <x v="0"/>
    <s v="accountant"/>
    <s v="summary sheet"/>
  </r>
  <r>
    <s v="PCOO656"/>
    <d v="2025-11-29T00:00:00"/>
    <x v="1"/>
    <x v="10"/>
    <s v="Week5"/>
    <s v="internet sub PH 1"/>
    <x v="7"/>
    <n v="20000"/>
    <x v="0"/>
    <s v="accountant"/>
    <s v="summary sheet"/>
  </r>
  <r>
    <s v="PCOO657"/>
    <d v="2025-11-30T00:00:00"/>
    <x v="1"/>
    <x v="10"/>
    <s v="Week5"/>
    <s v="electicity expenses"/>
    <x v="1"/>
    <n v="5000"/>
    <x v="0"/>
    <s v="accountant"/>
    <s v="summary sheet"/>
  </r>
  <r>
    <s v="PCOO658"/>
    <d v="2025-11-28T00:00:00"/>
    <x v="1"/>
    <x v="10"/>
    <s v="Week4"/>
    <s v="purchase of fuel  office car"/>
    <x v="3"/>
    <n v="22000"/>
    <x v="0"/>
    <s v="accountant"/>
    <s v="summary sheet"/>
  </r>
  <r>
    <s v="PCOO659"/>
    <d v="2025-12-01T00:00:00"/>
    <x v="1"/>
    <x v="11"/>
    <s v="Week1"/>
    <s v="purchase of fuel for  gen"/>
    <x v="3"/>
    <n v="25000"/>
    <x v="0"/>
    <s v="accountant"/>
    <s v="summary sheet"/>
  </r>
  <r>
    <s v="PCOO660"/>
    <d v="2025-12-01T00:00:00"/>
    <x v="1"/>
    <x v="11"/>
    <s v="Week1"/>
    <s v="marketing expenses"/>
    <x v="2"/>
    <n v="13000"/>
    <x v="0"/>
    <s v="accountant"/>
    <s v="summary sheet"/>
  </r>
  <r>
    <s v="PCOO661"/>
    <d v="2025-12-01T00:00:00"/>
    <x v="1"/>
    <x v="11"/>
    <s v="Week1"/>
    <s v="internet sub PH 2"/>
    <x v="7"/>
    <n v="24000"/>
    <x v="0"/>
    <s v="accountant"/>
    <s v="summary sheet"/>
  </r>
  <r>
    <s v="PCOO662"/>
    <d v="2025-12-01T00:00:00"/>
    <x v="1"/>
    <x v="11"/>
    <s v="Week1"/>
    <s v="purchase of fuel  office car"/>
    <x v="3"/>
    <n v="22000"/>
    <x v="0"/>
    <s v="accountant"/>
    <s v="summary sheet"/>
  </r>
  <r>
    <s v="PCOO663"/>
    <d v="2025-12-02T00:00:00"/>
    <x v="1"/>
    <x v="11"/>
    <s v="Week1"/>
    <s v="internet sub PH 3"/>
    <x v="7"/>
    <n v="24000"/>
    <x v="0"/>
    <s v="accountant"/>
    <s v="summary sheet"/>
  </r>
  <r>
    <s v="PCOO664"/>
    <d v="2025-12-03T00:00:00"/>
    <x v="1"/>
    <x v="11"/>
    <s v="Week1"/>
    <s v="purchase of toiletries and grocery"/>
    <x v="0"/>
    <n v="120200"/>
    <x v="0"/>
    <s v="accountant"/>
    <s v="summary sheet"/>
  </r>
  <r>
    <s v="PCOO665"/>
    <d v="2025-12-04T00:00:00"/>
    <x v="1"/>
    <x v="11"/>
    <s v="Week1"/>
    <s v="purchase of towels and office sponge"/>
    <x v="8"/>
    <n v="7000"/>
    <x v="0"/>
    <s v="accountant"/>
    <s v="summary sheet"/>
  </r>
  <r>
    <s v="PCOO666"/>
    <d v="2025-12-04T00:00:00"/>
    <x v="1"/>
    <x v="11"/>
    <s v="Week1"/>
    <s v="purchase of office extension"/>
    <x v="8"/>
    <n v="9000"/>
    <x v="0"/>
    <s v="accountant"/>
    <s v="summary sheet"/>
  </r>
  <r>
    <s v="PCOO667"/>
    <d v="2025-12-08T00:00:00"/>
    <x v="1"/>
    <x v="11"/>
    <s v="Week2"/>
    <s v="marketing expenses"/>
    <x v="2"/>
    <n v="13000"/>
    <x v="0"/>
    <s v="accountant"/>
    <s v="summary sheet"/>
  </r>
  <r>
    <s v="PCOO668"/>
    <d v="2025-12-09T00:00:00"/>
    <x v="1"/>
    <x v="11"/>
    <s v="Week2"/>
    <s v="purchase of c_way water"/>
    <x v="0"/>
    <n v="6000"/>
    <x v="0"/>
    <s v="accountant"/>
    <s v="summary sheet"/>
  </r>
  <r>
    <s v="PCOO669"/>
    <d v="2025-12-09T00:00:00"/>
    <x v="1"/>
    <x v="11"/>
    <s v="Week2"/>
    <s v="electicity expenses"/>
    <x v="1"/>
    <n v="5000"/>
    <x v="0"/>
    <s v="accountant"/>
    <s v="summary sheet"/>
  </r>
  <r>
    <s v="PCOO670"/>
    <d v="2025-12-10T00:00:00"/>
    <x v="1"/>
    <x v="11"/>
    <s v="Week2"/>
    <s v="delivery of grease to bori"/>
    <x v="4"/>
    <n v="15000"/>
    <x v="0"/>
    <s v="accountant"/>
    <s v="summary sheet"/>
  </r>
  <r>
    <s v="PCOO671"/>
    <d v="2025-12-15T00:00:00"/>
    <x v="1"/>
    <x v="11"/>
    <s v="Week3"/>
    <s v="marketing expenses"/>
    <x v="2"/>
    <n v="13000"/>
    <x v="0"/>
    <s v="accountant"/>
    <s v="summary sheet"/>
  </r>
  <r>
    <s v="PCOO672"/>
    <d v="2025-12-15T00:00:00"/>
    <x v="1"/>
    <x v="11"/>
    <s v="Week3"/>
    <s v="electicity expenses"/>
    <x v="1"/>
    <n v="4000"/>
    <x v="0"/>
    <s v="accountant"/>
    <s v="summary sheet"/>
  </r>
  <r>
    <s v="PCOO673"/>
    <d v="2025-12-16T00:00:00"/>
    <x v="1"/>
    <x v="11"/>
    <s v="Week3"/>
    <s v="chemical cleaning for office cars"/>
    <x v="5"/>
    <n v="18000"/>
    <x v="1"/>
    <s v="accountant"/>
    <s v="summary sheet"/>
  </r>
  <r>
    <s v="PCOO674"/>
    <d v="2025-12-18T00:00:00"/>
    <x v="1"/>
    <x v="11"/>
    <s v="Week3"/>
    <s v="purchase of c_way water"/>
    <x v="0"/>
    <n v="4500"/>
    <x v="1"/>
    <s v="accountant"/>
    <s v="summary sheet"/>
  </r>
  <r>
    <s v="PCOO675"/>
    <d v="2025-12-20T00:00:00"/>
    <x v="1"/>
    <x v="11"/>
    <s v="Week3"/>
    <s v="purchase of fuel  office car"/>
    <x v="3"/>
    <n v="22000"/>
    <x v="1"/>
    <s v="accountant"/>
    <s v="summary sheet"/>
  </r>
  <r>
    <s v="PCOO676"/>
    <d v="2025-12-22T00:00:00"/>
    <x v="1"/>
    <x v="11"/>
    <s v="Week4"/>
    <s v="purchase of fuel  office car"/>
    <x v="3"/>
    <n v="22000"/>
    <x v="1"/>
    <s v="accountant"/>
    <s v="summary sheet"/>
  </r>
  <r>
    <s v="PCOO677"/>
    <d v="2025-12-22T00:00:00"/>
    <x v="1"/>
    <x v="11"/>
    <s v="Week4"/>
    <s v="logistic to&amp;fro to the bori"/>
    <x v="4"/>
    <n v="12000"/>
    <x v="1"/>
    <s v="accountant"/>
    <s v="summary sheet"/>
  </r>
  <r>
    <s v="PCOO678"/>
    <d v="2025-12-24T00:00:00"/>
    <x v="1"/>
    <x v="11"/>
    <s v="Week4"/>
    <s v="electicity expenses"/>
    <x v="1"/>
    <n v="4000"/>
    <x v="0"/>
    <s v="accountant"/>
    <s v="summary sheet"/>
  </r>
  <r>
    <s v="PCOO679"/>
    <d v="2025-12-28T00:00:00"/>
    <x v="1"/>
    <x v="11"/>
    <s v="Week4"/>
    <s v="electicity expenses"/>
    <x v="1"/>
    <n v="4000"/>
    <x v="0"/>
    <s v="accountant"/>
    <s v="summary sheet"/>
  </r>
  <r>
    <s v="PCOO680"/>
    <d v="2025-12-28T00:00:00"/>
    <x v="1"/>
    <x v="11"/>
    <s v="Week4"/>
    <s v="purchase of fuel  office car"/>
    <x v="3"/>
    <n v="22000"/>
    <x v="1"/>
    <s v="accountant"/>
    <s v="summary sheet"/>
  </r>
  <r>
    <s v="PCOO681"/>
    <d v="2025-12-29T00:00:00"/>
    <x v="1"/>
    <x v="11"/>
    <s v="Week5"/>
    <s v="internet sub PH 1"/>
    <x v="7"/>
    <n v="20000"/>
    <x v="0"/>
    <s v="accountant"/>
    <s v="summary sheet"/>
  </r>
  <r>
    <s v="PCOO682"/>
    <d v="2025-12-29T00:00:00"/>
    <x v="1"/>
    <x v="11"/>
    <s v="Week5"/>
    <s v="recharge allowance"/>
    <x v="0"/>
    <n v="5000"/>
    <x v="0"/>
    <s v="accountant"/>
    <s v="summary she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5AA866-A62B-453B-A2C5-F2EE7933525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Category">
  <location ref="A20:B23" firstHeaderRow="1" firstDataRow="1" firstDataCol="1"/>
  <pivotFields count="11">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pivotField showAll="0">
      <items count="12">
        <item x="3"/>
        <item x="2"/>
        <item x="9"/>
        <item x="8"/>
        <item x="10"/>
        <item x="5"/>
        <item x="7"/>
        <item x="4"/>
        <item x="1"/>
        <item x="6"/>
        <item x="0"/>
        <item t="default"/>
      </items>
    </pivotField>
    <pivotField dataField="1" numFmtId="164" showAll="0"/>
    <pivotField axis="axisRow" showAll="0">
      <items count="4">
        <item x="1"/>
        <item x="2"/>
        <item x="0"/>
        <item t="default"/>
      </items>
    </pivotField>
    <pivotField showAll="0"/>
    <pivotField showAll="0"/>
  </pivotFields>
  <rowFields count="1">
    <field x="8"/>
  </rowFields>
  <rowItems count="3">
    <i>
      <x/>
    </i>
    <i>
      <x v="1"/>
    </i>
    <i>
      <x v="2"/>
    </i>
  </rowItems>
  <colItems count="1">
    <i/>
  </colItems>
  <dataFields count="1">
    <dataField name="Sum of Amount" fld="7" baseField="0" baseItem="0" numFmtId="164"/>
  </dataFields>
  <formats count="1">
    <format dxfId="14">
      <pivotArea collapsedLevelsAreSubtotals="1" fieldPosition="0">
        <references count="1">
          <reference field="8"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8" count="1" selected="0">
            <x v="0"/>
          </reference>
        </references>
      </pivotArea>
    </chartFormat>
    <chartFormat chart="8" format="10">
      <pivotArea type="data" outline="0" fieldPosition="0">
        <references count="2">
          <reference field="4294967294" count="1" selected="0">
            <x v="0"/>
          </reference>
          <reference field="8" count="1" selected="0">
            <x v="1"/>
          </reference>
        </references>
      </pivotArea>
    </chartFormat>
    <chartFormat chart="8"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D0733F-2A71-4705-84AA-F8371D7AB74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F4:G15" firstHeaderRow="1" firstDataRow="1" firstDataCol="1"/>
  <pivotFields count="11">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pivotField axis="axisRow" showAll="0">
      <items count="12">
        <item x="3"/>
        <item x="2"/>
        <item x="9"/>
        <item x="8"/>
        <item x="10"/>
        <item x="5"/>
        <item x="7"/>
        <item x="4"/>
        <item x="1"/>
        <item x="6"/>
        <item x="0"/>
        <item t="default"/>
      </items>
    </pivotField>
    <pivotField dataField="1" numFmtId="164" showAll="0"/>
    <pivotField showAll="0"/>
    <pivotField showAll="0"/>
    <pivotField showAll="0"/>
  </pivotFields>
  <rowFields count="1">
    <field x="6"/>
  </rowFields>
  <rowItems count="11">
    <i>
      <x/>
    </i>
    <i>
      <x v="1"/>
    </i>
    <i>
      <x v="2"/>
    </i>
    <i>
      <x v="3"/>
    </i>
    <i>
      <x v="4"/>
    </i>
    <i>
      <x v="5"/>
    </i>
    <i>
      <x v="6"/>
    </i>
    <i>
      <x v="7"/>
    </i>
    <i>
      <x v="8"/>
    </i>
    <i>
      <x v="9"/>
    </i>
    <i>
      <x v="10"/>
    </i>
  </rowItems>
  <colItems count="1">
    <i/>
  </colItems>
  <dataFields count="1">
    <dataField name="Sum of Amoun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711617-37FA-48E0-9CBF-E734A5E78D6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Month">
  <location ref="A3:B15" firstHeaderRow="1" firstDataRow="1" firstDataCol="1"/>
  <pivotFields count="11">
    <pivotField showAll="0"/>
    <pivotField numFmtId="14" showAll="0"/>
    <pivotField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pivotField showAll="0">
      <items count="12">
        <item x="3"/>
        <item x="2"/>
        <item x="9"/>
        <item x="8"/>
        <item x="10"/>
        <item x="5"/>
        <item x="7"/>
        <item x="4"/>
        <item x="1"/>
        <item x="6"/>
        <item x="0"/>
        <item t="default"/>
      </items>
    </pivotField>
    <pivotField dataField="1" numFmtId="164" showAll="0"/>
    <pivotField showAll="0"/>
    <pivotField showAll="0"/>
    <pivotField showAll="0"/>
  </pivotFields>
  <rowFields count="1">
    <field x="3"/>
  </rowFields>
  <rowItems count="12">
    <i>
      <x/>
    </i>
    <i>
      <x v="1"/>
    </i>
    <i>
      <x v="2"/>
    </i>
    <i>
      <x v="3"/>
    </i>
    <i>
      <x v="4"/>
    </i>
    <i>
      <x v="5"/>
    </i>
    <i>
      <x v="6"/>
    </i>
    <i>
      <x v="7"/>
    </i>
    <i>
      <x v="8"/>
    </i>
    <i>
      <x v="9"/>
    </i>
    <i>
      <x v="10"/>
    </i>
    <i>
      <x v="11"/>
    </i>
  </rowItems>
  <colItems count="1">
    <i/>
  </colItems>
  <dataFields count="1">
    <dataField name="Sum of Amount" fld="7"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E681BA-5763-40AC-BE56-DCD2D71A666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ategory">
  <location ref="K19:M31" firstHeaderRow="1" firstDataRow="2" firstDataCol="1"/>
  <pivotFields count="11">
    <pivotField showAll="0"/>
    <pivotField numFmtId="14" showAll="0"/>
    <pivotField axis="axisCol" showAll="0">
      <items count="3">
        <item x="0"/>
        <item x="1"/>
        <item t="default"/>
      </items>
    </pivotField>
    <pivotField showAll="0">
      <items count="13">
        <item x="0"/>
        <item x="1"/>
        <item x="2"/>
        <item x="3"/>
        <item x="4"/>
        <item x="5"/>
        <item x="6"/>
        <item x="7"/>
        <item x="8"/>
        <item x="9"/>
        <item x="10"/>
        <item x="11"/>
        <item t="default"/>
      </items>
    </pivotField>
    <pivotField showAll="0"/>
    <pivotField showAll="0"/>
    <pivotField axis="axisRow" showAll="0">
      <items count="12">
        <item x="3"/>
        <item x="2"/>
        <item x="9"/>
        <item x="8"/>
        <item x="10"/>
        <item x="5"/>
        <item x="7"/>
        <item x="4"/>
        <item x="1"/>
        <item x="6"/>
        <item x="0"/>
        <item t="default"/>
      </items>
    </pivotField>
    <pivotField dataField="1" numFmtId="164" showAll="0"/>
    <pivotField showAll="0"/>
    <pivotField showAll="0"/>
    <pivotField showAll="0"/>
  </pivotFields>
  <rowFields count="1">
    <field x="6"/>
  </rowFields>
  <rowItems count="11">
    <i>
      <x/>
    </i>
    <i>
      <x v="1"/>
    </i>
    <i>
      <x v="2"/>
    </i>
    <i>
      <x v="3"/>
    </i>
    <i>
      <x v="4"/>
    </i>
    <i>
      <x v="5"/>
    </i>
    <i>
      <x v="6"/>
    </i>
    <i>
      <x v="7"/>
    </i>
    <i>
      <x v="8"/>
    </i>
    <i>
      <x v="9"/>
    </i>
    <i>
      <x v="10"/>
    </i>
  </rowItems>
  <colFields count="1">
    <field x="2"/>
  </colFields>
  <colItems count="2">
    <i>
      <x/>
    </i>
    <i>
      <x v="1"/>
    </i>
  </colItems>
  <dataFields count="1">
    <dataField name="Sum of Amount" fld="7" baseField="0" baseItem="0" numFmtId="164"/>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A32DDF-1F95-4545-B711-21B5206169B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I4:I5" firstHeaderRow="1" firstDataRow="1" firstDataCol="0"/>
  <pivotFields count="11">
    <pivotField showAll="0"/>
    <pivotField numFmtId="14"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pivotField showAll="0">
      <items count="12">
        <item x="3"/>
        <item x="2"/>
        <item x="9"/>
        <item x="8"/>
        <item x="10"/>
        <item x="5"/>
        <item x="7"/>
        <item x="4"/>
        <item x="1"/>
        <item x="6"/>
        <item x="0"/>
        <item t="default"/>
      </items>
    </pivotField>
    <pivotField dataField="1" numFmtId="164" showAll="0"/>
    <pivotField showAll="0">
      <items count="4">
        <item x="1"/>
        <item x="2"/>
        <item x="0"/>
        <item t="default"/>
      </items>
    </pivotField>
    <pivotField showAll="0"/>
    <pivotField showAll="0"/>
  </pivotFields>
  <rowItems count="1">
    <i/>
  </rowItems>
  <colItems count="1">
    <i/>
  </colItems>
  <dataFields count="1">
    <dataField name="Total Expenses"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DA2AA8-D5C4-4CD7-8E43-49D14571410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Category">
  <location ref="F19:H32" firstHeaderRow="1" firstDataRow="2" firstDataCol="1"/>
  <pivotFields count="11">
    <pivotField showAll="0"/>
    <pivotField numFmtId="14" showAll="0"/>
    <pivotField axis="axisCol"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pivotField showAll="0">
      <items count="12">
        <item x="3"/>
        <item x="2"/>
        <item x="9"/>
        <item x="8"/>
        <item x="10"/>
        <item x="5"/>
        <item x="7"/>
        <item x="4"/>
        <item x="1"/>
        <item x="6"/>
        <item x="0"/>
        <item t="default"/>
      </items>
    </pivotField>
    <pivotField dataField="1" numFmtId="164" showAll="0"/>
    <pivotField showAll="0"/>
    <pivotField showAll="0"/>
    <pivotField showAll="0"/>
  </pivotFields>
  <rowFields count="1">
    <field x="3"/>
  </rowFields>
  <rowItems count="12">
    <i>
      <x/>
    </i>
    <i>
      <x v="1"/>
    </i>
    <i>
      <x v="2"/>
    </i>
    <i>
      <x v="3"/>
    </i>
    <i>
      <x v="4"/>
    </i>
    <i>
      <x v="5"/>
    </i>
    <i>
      <x v="6"/>
    </i>
    <i>
      <x v="7"/>
    </i>
    <i>
      <x v="8"/>
    </i>
    <i>
      <x v="9"/>
    </i>
    <i>
      <x v="10"/>
    </i>
    <i>
      <x v="11"/>
    </i>
  </rowItems>
  <colFields count="1">
    <field x="2"/>
  </colFields>
  <colItems count="2">
    <i>
      <x/>
    </i>
    <i>
      <x v="1"/>
    </i>
  </colItems>
  <dataFields count="1">
    <dataField name="Sum of Amount" fld="7" baseField="0" baseItem="0" numFmtId="164"/>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24435F-5781-4C15-947C-3D10A1786B60}" autoFormatId="16" applyNumberFormats="0" applyBorderFormats="0" applyFontFormats="0" applyPatternFormats="0" applyAlignmentFormats="0" applyWidthHeightFormats="0">
  <queryTableRefresh nextId="12">
    <queryTableFields count="11">
      <queryTableField id="1" name="Tranction_1d" tableColumnId="1"/>
      <queryTableField id="2" name="Date" tableColumnId="2"/>
      <queryTableField id="3" name="Year" tableColumnId="3"/>
      <queryTableField id="4" name="Month" tableColumnId="4"/>
      <queryTableField id="5" name="Week_No" tableColumnId="5"/>
      <queryTableField id="6" name="Description" tableColumnId="6"/>
      <queryTableField id="7" name="Category" tableColumnId="7"/>
      <queryTableField id="8" name="Amount" tableColumnId="8"/>
      <queryTableField id="9" name="Payment _Method" tableColumnId="9"/>
      <queryTableField id="10" name="Approved_By" tableColumnId="10"/>
      <queryTableField id="11" name="Note" tableColumnId="11"/>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01A200D-D8C6-4740-B66B-6A2B2D209E30}" sourceName="Year">
  <pivotTables>
    <pivotTable tabId="15" name="PivotTable3"/>
    <pivotTable tabId="15" name="PivotTable1"/>
    <pivotTable tabId="15" name="PivotTable11"/>
    <pivotTable tabId="15" name="PivotTable5"/>
    <pivotTable tabId="15" name="PivotTable7"/>
    <pivotTable tabId="15" name="PivotTable9"/>
  </pivotTables>
  <data>
    <tabular pivotCacheId="12053790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B1DB03A-0751-4035-B4FA-A1F8440DB5F5}" sourceName="Month">
  <pivotTables>
    <pivotTable tabId="15" name="PivotTable3"/>
    <pivotTable tabId="15" name="PivotTable1"/>
    <pivotTable tabId="15" name="PivotTable11"/>
    <pivotTable tabId="15" name="PivotTable5"/>
    <pivotTable tabId="15" name="PivotTable7"/>
    <pivotTable tabId="15" name="PivotTable9"/>
  </pivotTables>
  <data>
    <tabular pivotCacheId="120537902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AF05D3-FB7E-4CFD-B996-4FFCF66E8CC9}" sourceName="Category">
  <pivotTables>
    <pivotTable tabId="15" name="PivotTable3"/>
    <pivotTable tabId="15" name="PivotTable1"/>
    <pivotTable tabId="15" name="PivotTable11"/>
    <pivotTable tabId="15" name="PivotTable5"/>
    <pivotTable tabId="15" name="PivotTable7"/>
    <pivotTable tabId="15" name="PivotTable9"/>
  </pivotTables>
  <data>
    <tabular pivotCacheId="1205379020">
      <items count="11">
        <i x="3" s="1"/>
        <i x="2" s="1"/>
        <i x="9" s="1"/>
        <i x="8" s="1"/>
        <i x="10" s="1"/>
        <i x="5" s="1"/>
        <i x="7" s="1"/>
        <i x="4" s="1"/>
        <i x="1"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CFBF53D-AA47-40CE-B7DB-DBB96DA5671A}" cache="Slicer_Year" caption="Year" columnCount="2" style="Slicer Style 1" rowHeight="216000"/>
  <slicer name="Month" xr10:uid="{740C6C3A-75AD-4B5E-B441-AEE5CBE2301F}" cache="Slicer_Month" caption="Month" columnCount="3" style="Slicer Style 1" rowHeight="216000"/>
  <slicer name="Category" xr10:uid="{B9828AA9-A0D1-468B-B053-CCCBA3EA77C0}" cache="Slicer_Category" caption="Category" columnCount="2" style="Slicer Style 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A245D6A-A6C2-4A36-B95C-4CE2119A54F6}" cache="Slicer_Year" caption="Year" columnCount="2" style="Slicer Style 1" rowHeight="216000"/>
  <slicer name="Month 1" xr10:uid="{1EBD8F73-C4C8-4129-87F4-839D16287C62}" cache="Slicer_Month" caption="Month" columnCount="3" style="Slicer Style 1" rowHeight="216000"/>
  <slicer name="Category 1" xr10:uid="{6B412CCD-B666-461F-BBD5-0248FBA0EBE2}" cache="Slicer_Category" caption="Category" columnCount="2" style="Slicer Style 1" rowHeight="216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7EA942-9009-456D-AB66-20E48C90C2B9}" name="Table1" displayName="Table1" ref="A1:K683" totalsRowShown="0">
  <autoFilter ref="A1:K683" xr:uid="{9F7EA942-9009-456D-AB66-20E48C90C2B9}"/>
  <tableColumns count="11">
    <tableColumn id="1" xr3:uid="{45FCCD09-C51D-47BF-9AEF-DE796A44FA72}" name="Tranction_1d"/>
    <tableColumn id="2" xr3:uid="{3BD623E4-ADCB-470F-89C8-2BD8E298B658}" name="Date" dataDxfId="25"/>
    <tableColumn id="3" xr3:uid="{6D3051B2-E7C3-404C-A041-F135506E91AA}" name="Year">
      <calculatedColumnFormula>YEAR(B2)</calculatedColumnFormula>
    </tableColumn>
    <tableColumn id="4" xr3:uid="{5A19C82A-A93C-439B-9033-241EAF2B3E26}" name="Month">
      <calculatedColumnFormula>TEXT(B2,"mmmm")</calculatedColumnFormula>
    </tableColumn>
    <tableColumn id="5" xr3:uid="{82D4644C-A21A-4D3F-B6DC-AB167212375A}" name="Week_No">
      <calculatedColumnFormula>"Week"&amp;ROUNDUP(DAY(B2)/7,0)</calculatedColumnFormula>
    </tableColumn>
    <tableColumn id="6" xr3:uid="{5D62E0B6-17D1-4034-9B4F-70262737F6DC}" name="Description"/>
    <tableColumn id="7" xr3:uid="{5F04A1FA-D865-42BD-8697-56B668D38C4E}" name="Category"/>
    <tableColumn id="8" xr3:uid="{1C6338FE-E75C-42A5-B939-A98601D620BE}" name="Amount"/>
    <tableColumn id="9" xr3:uid="{93733DDC-EF15-48B0-B10A-9621360A398D}" name="Payment _Method"/>
    <tableColumn id="10" xr3:uid="{3790F9A1-7AB6-49DF-A188-309FA124B38D}" name="Approved_By"/>
    <tableColumn id="11" xr3:uid="{EC50FF54-D6A9-44E2-B80D-B0AABA008102}"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0FFE2C-52E8-464B-B6AA-51D0C39236E4}" name="Expenses_Transactions" displayName="Expenses_Transactions" ref="A1:K683" tableType="queryTable" totalsRowShown="0">
  <autoFilter ref="A1:K683" xr:uid="{0C0FFE2C-52E8-464B-B6AA-51D0C39236E4}"/>
  <tableColumns count="11">
    <tableColumn id="1" xr3:uid="{1465E884-AA05-4126-9B7E-0BE1462E8726}" uniqueName="1" name="Column1" queryTableFieldId="1" dataDxfId="24"/>
    <tableColumn id="2" xr3:uid="{9A5D7E92-0107-497E-9FB3-33FD6E65FB75}" uniqueName="2" name="Date" queryTableFieldId="2" dataDxfId="23"/>
    <tableColumn id="3" xr3:uid="{8F73282E-208E-4DAB-9A10-C584EEC62515}" uniqueName="3" name="Year" queryTableFieldId="3"/>
    <tableColumn id="4" xr3:uid="{807700C0-DDFA-4F9A-8610-221B91497A4D}" uniqueName="4" name="Month" queryTableFieldId="4" dataDxfId="22"/>
    <tableColumn id="5" xr3:uid="{8AD65F3C-52AB-4390-84D9-564EC504CCAD}" uniqueName="5" name="Week_No" queryTableFieldId="5" dataDxfId="21"/>
    <tableColumn id="6" xr3:uid="{1B30DA68-00E6-4308-BC12-F3C21DD43C56}" uniqueName="6" name="Description" queryTableFieldId="6" dataDxfId="20"/>
    <tableColumn id="7" xr3:uid="{D479CE50-B93A-4783-9D00-EA1801D758AE}" uniqueName="7" name="Category" queryTableFieldId="7" dataDxfId="19"/>
    <tableColumn id="8" xr3:uid="{B5EDAA9B-AD12-4377-AA59-14A2F13E52DE}" uniqueName="8" name="Amount" queryTableFieldId="8" dataDxfId="18"/>
    <tableColumn id="9" xr3:uid="{2A5CD40D-5887-4D46-8572-5ACA093C626E}" uniqueName="9" name="Payment _Method" queryTableFieldId="9" dataDxfId="17"/>
    <tableColumn id="10" xr3:uid="{F4279E0D-D767-4B7D-AD26-53FA6B0FD3DB}" uniqueName="10" name="Approved_By" queryTableFieldId="10" dataDxfId="16"/>
    <tableColumn id="11" xr3:uid="{19C9C926-34C4-4ED5-AD5E-C70589BE7C7B}" uniqueName="11" name="Note" queryTableFieldId="11" dataDxf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1F40-DC28-42BF-B706-743F25ECB644}">
  <dimension ref="A1:B12"/>
  <sheetViews>
    <sheetView workbookViewId="0">
      <selection activeCell="A13" sqref="A13"/>
    </sheetView>
  </sheetViews>
  <sheetFormatPr defaultRowHeight="15" x14ac:dyDescent="0.25"/>
  <cols>
    <col min="1" max="1" width="25.5703125" customWidth="1"/>
    <col min="2" max="2" width="18" customWidth="1"/>
  </cols>
  <sheetData>
    <row r="1" spans="1:2" x14ac:dyDescent="0.25">
      <c r="A1" t="s">
        <v>1006</v>
      </c>
      <c r="B1" t="s">
        <v>1063</v>
      </c>
    </row>
    <row r="2" spans="1:2" x14ac:dyDescent="0.25">
      <c r="A2" t="s">
        <v>1010</v>
      </c>
      <c r="B2" t="s">
        <v>1029</v>
      </c>
    </row>
    <row r="3" spans="1:2" x14ac:dyDescent="0.25">
      <c r="A3" t="s">
        <v>1011</v>
      </c>
      <c r="B3" t="s">
        <v>1027</v>
      </c>
    </row>
    <row r="4" spans="1:2" x14ac:dyDescent="0.25">
      <c r="A4" t="s">
        <v>1012</v>
      </c>
      <c r="B4" t="s">
        <v>1028</v>
      </c>
    </row>
    <row r="5" spans="1:2" x14ac:dyDescent="0.25">
      <c r="A5" t="s">
        <v>1198</v>
      </c>
    </row>
    <row r="6" spans="1:2" x14ac:dyDescent="0.25">
      <c r="A6" t="s">
        <v>1013</v>
      </c>
    </row>
    <row r="7" spans="1:2" x14ac:dyDescent="0.25">
      <c r="A7" t="s">
        <v>1014</v>
      </c>
    </row>
    <row r="8" spans="1:2" x14ac:dyDescent="0.25">
      <c r="A8" t="s">
        <v>1015</v>
      </c>
    </row>
    <row r="9" spans="1:2" x14ac:dyDescent="0.25">
      <c r="A9" t="s">
        <v>1197</v>
      </c>
    </row>
    <row r="10" spans="1:2" x14ac:dyDescent="0.25">
      <c r="A10" t="s">
        <v>1199</v>
      </c>
    </row>
    <row r="11" spans="1:2" x14ac:dyDescent="0.25">
      <c r="A11" t="s">
        <v>1202</v>
      </c>
    </row>
    <row r="12" spans="1:2" x14ac:dyDescent="0.25">
      <c r="A12" t="s">
        <v>1200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D1303-CEB7-480F-8529-407A942D97DE}">
  <dimension ref="A1:K683"/>
  <sheetViews>
    <sheetView workbookViewId="0">
      <selection activeCell="N7" sqref="N7"/>
    </sheetView>
  </sheetViews>
  <sheetFormatPr defaultRowHeight="15" x14ac:dyDescent="0.25"/>
  <cols>
    <col min="2" max="2" width="15.85546875" customWidth="1"/>
    <col min="6" max="6" width="20.42578125" customWidth="1"/>
    <col min="7" max="7" width="24.5703125" customWidth="1"/>
    <col min="10" max="10" width="20.42578125" customWidth="1"/>
    <col min="11" max="11" width="19.5703125" customWidth="1"/>
  </cols>
  <sheetData>
    <row r="1" spans="1:11" x14ac:dyDescent="0.25">
      <c r="A1" t="s">
        <v>0</v>
      </c>
      <c r="B1" s="1" t="s">
        <v>1001</v>
      </c>
      <c r="C1" t="s">
        <v>1002</v>
      </c>
      <c r="D1" t="s">
        <v>1003</v>
      </c>
      <c r="E1" t="s">
        <v>1004</v>
      </c>
      <c r="F1" t="s">
        <v>1005</v>
      </c>
      <c r="G1" t="s">
        <v>1006</v>
      </c>
      <c r="H1" t="s">
        <v>1007</v>
      </c>
      <c r="I1" t="s">
        <v>1008</v>
      </c>
      <c r="J1" t="s">
        <v>1009</v>
      </c>
      <c r="K1" t="s">
        <v>1016</v>
      </c>
    </row>
    <row r="2" spans="1:11" x14ac:dyDescent="0.25">
      <c r="A2" t="s">
        <v>1</v>
      </c>
      <c r="B2" s="1">
        <v>45296</v>
      </c>
      <c r="C2">
        <f>YEAR(B2)</f>
        <v>2024</v>
      </c>
      <c r="D2" t="str">
        <f>TEXT(B2,"mmmm")</f>
        <v>January</v>
      </c>
      <c r="E2" t="str">
        <f>"Week"&amp;ROUNDUP(DAY(B2)/7,0)</f>
        <v>Week1</v>
      </c>
      <c r="F2" t="s">
        <v>1017</v>
      </c>
      <c r="G2" t="s">
        <v>1014</v>
      </c>
      <c r="H2">
        <v>5000</v>
      </c>
      <c r="I2" t="s">
        <v>1027</v>
      </c>
      <c r="J2" t="s">
        <v>1030</v>
      </c>
      <c r="K2" t="s">
        <v>1031</v>
      </c>
    </row>
    <row r="3" spans="1:11" x14ac:dyDescent="0.25">
      <c r="A3" t="s">
        <v>2</v>
      </c>
      <c r="B3" s="1">
        <v>45303</v>
      </c>
      <c r="C3">
        <f t="shared" ref="C3:C71" si="0">YEAR(B3)</f>
        <v>2024</v>
      </c>
      <c r="D3" t="str">
        <f t="shared" ref="D3:D66" si="1">TEXT(B3,"mmmm")</f>
        <v>January</v>
      </c>
      <c r="E3" t="str">
        <f t="shared" ref="E3:E156" si="2">"Week"&amp;ROUNDUP(DAY(B3)/7,0)</f>
        <v>Week2</v>
      </c>
      <c r="F3" t="s">
        <v>1018</v>
      </c>
      <c r="G3" t="s">
        <v>1013</v>
      </c>
      <c r="H3">
        <v>1460</v>
      </c>
      <c r="I3" t="s">
        <v>1027</v>
      </c>
      <c r="J3" t="s">
        <v>1030</v>
      </c>
      <c r="K3" t="s">
        <v>1031</v>
      </c>
    </row>
    <row r="4" spans="1:11" x14ac:dyDescent="0.25">
      <c r="A4" t="s">
        <v>3</v>
      </c>
      <c r="B4" s="1">
        <v>45306</v>
      </c>
      <c r="C4">
        <f t="shared" si="0"/>
        <v>2024</v>
      </c>
      <c r="D4" t="str">
        <f t="shared" si="1"/>
        <v>January</v>
      </c>
      <c r="E4" t="str">
        <f t="shared" si="2"/>
        <v>Week3</v>
      </c>
      <c r="F4" t="s">
        <v>1019</v>
      </c>
      <c r="G4" t="s">
        <v>1197</v>
      </c>
      <c r="H4">
        <v>11000</v>
      </c>
      <c r="I4" t="s">
        <v>1027</v>
      </c>
      <c r="J4" t="s">
        <v>1030</v>
      </c>
      <c r="K4" t="s">
        <v>1031</v>
      </c>
    </row>
    <row r="5" spans="1:11" x14ac:dyDescent="0.25">
      <c r="A5" t="s">
        <v>4</v>
      </c>
      <c r="B5" s="1">
        <v>45313</v>
      </c>
      <c r="C5">
        <f t="shared" si="0"/>
        <v>2024</v>
      </c>
      <c r="D5" t="str">
        <f t="shared" si="1"/>
        <v>January</v>
      </c>
      <c r="E5" t="str">
        <f t="shared" si="2"/>
        <v>Week4</v>
      </c>
      <c r="F5" t="s">
        <v>1019</v>
      </c>
      <c r="G5" t="s">
        <v>1197</v>
      </c>
      <c r="H5">
        <v>11000</v>
      </c>
      <c r="I5" t="s">
        <v>1027</v>
      </c>
      <c r="J5" t="s">
        <v>1030</v>
      </c>
      <c r="K5" t="s">
        <v>1031</v>
      </c>
    </row>
    <row r="6" spans="1:11" x14ac:dyDescent="0.25">
      <c r="A6" t="s">
        <v>5</v>
      </c>
      <c r="B6" s="1">
        <v>45313</v>
      </c>
      <c r="C6">
        <f t="shared" si="0"/>
        <v>2024</v>
      </c>
      <c r="D6" t="str">
        <f t="shared" si="1"/>
        <v>January</v>
      </c>
      <c r="E6" t="str">
        <f t="shared" si="2"/>
        <v>Week4</v>
      </c>
      <c r="F6" t="s">
        <v>1020</v>
      </c>
      <c r="G6" t="s">
        <v>1011</v>
      </c>
      <c r="H6">
        <v>30000</v>
      </c>
      <c r="I6" t="s">
        <v>1028</v>
      </c>
      <c r="J6" t="s">
        <v>1030</v>
      </c>
      <c r="K6" t="s">
        <v>1031</v>
      </c>
    </row>
    <row r="7" spans="1:11" x14ac:dyDescent="0.25">
      <c r="A7" t="s">
        <v>6</v>
      </c>
      <c r="B7" s="1">
        <v>45315</v>
      </c>
      <c r="C7">
        <f t="shared" si="0"/>
        <v>2024</v>
      </c>
      <c r="D7" t="str">
        <f t="shared" si="1"/>
        <v>January</v>
      </c>
      <c r="E7" t="str">
        <f t="shared" si="2"/>
        <v>Week4</v>
      </c>
      <c r="F7" t="s">
        <v>1021</v>
      </c>
      <c r="G7" t="s">
        <v>1010</v>
      </c>
      <c r="H7">
        <v>3000</v>
      </c>
      <c r="I7" t="s">
        <v>1029</v>
      </c>
      <c r="J7" t="s">
        <v>1030</v>
      </c>
      <c r="K7" t="s">
        <v>1031</v>
      </c>
    </row>
    <row r="8" spans="1:11" x14ac:dyDescent="0.25">
      <c r="A8" t="s">
        <v>7</v>
      </c>
      <c r="B8" s="1">
        <v>45316</v>
      </c>
      <c r="C8">
        <f t="shared" si="0"/>
        <v>2024</v>
      </c>
      <c r="D8" t="str">
        <f t="shared" si="1"/>
        <v>January</v>
      </c>
      <c r="E8" t="str">
        <f t="shared" si="2"/>
        <v>Week4</v>
      </c>
      <c r="F8" t="s">
        <v>1022</v>
      </c>
      <c r="G8" t="s">
        <v>1014</v>
      </c>
      <c r="H8">
        <v>3300</v>
      </c>
      <c r="I8" t="s">
        <v>1028</v>
      </c>
      <c r="J8" t="s">
        <v>1030</v>
      </c>
      <c r="K8" t="s">
        <v>1031</v>
      </c>
    </row>
    <row r="9" spans="1:11" x14ac:dyDescent="0.25">
      <c r="A9" t="s">
        <v>8</v>
      </c>
      <c r="B9" s="1">
        <v>45316</v>
      </c>
      <c r="C9">
        <f t="shared" si="0"/>
        <v>2024</v>
      </c>
      <c r="D9" t="str">
        <f t="shared" si="1"/>
        <v>January</v>
      </c>
      <c r="E9" t="str">
        <f t="shared" si="2"/>
        <v>Week4</v>
      </c>
      <c r="F9" t="s">
        <v>1024</v>
      </c>
      <c r="G9" t="s">
        <v>1198</v>
      </c>
      <c r="H9">
        <v>14200</v>
      </c>
      <c r="I9" t="s">
        <v>1027</v>
      </c>
      <c r="J9" t="s">
        <v>1030</v>
      </c>
      <c r="K9" t="s">
        <v>1031</v>
      </c>
    </row>
    <row r="10" spans="1:11" x14ac:dyDescent="0.25">
      <c r="A10" t="s">
        <v>9</v>
      </c>
      <c r="B10" s="1">
        <v>45317</v>
      </c>
      <c r="C10">
        <f t="shared" si="0"/>
        <v>2024</v>
      </c>
      <c r="D10" t="str">
        <f t="shared" si="1"/>
        <v>January</v>
      </c>
      <c r="E10" t="str">
        <f t="shared" si="2"/>
        <v>Week4</v>
      </c>
      <c r="F10" t="s">
        <v>1023</v>
      </c>
      <c r="G10" t="s">
        <v>1201</v>
      </c>
      <c r="H10">
        <v>7000</v>
      </c>
      <c r="I10" t="s">
        <v>1027</v>
      </c>
      <c r="J10" t="s">
        <v>1030</v>
      </c>
      <c r="K10" t="s">
        <v>1031</v>
      </c>
    </row>
    <row r="11" spans="1:11" x14ac:dyDescent="0.25">
      <c r="A11" t="s">
        <v>10</v>
      </c>
      <c r="B11" s="1">
        <v>45317</v>
      </c>
      <c r="C11">
        <f t="shared" si="0"/>
        <v>2024</v>
      </c>
      <c r="D11" t="str">
        <f t="shared" si="1"/>
        <v>January</v>
      </c>
      <c r="E11" t="str">
        <f t="shared" si="2"/>
        <v>Week4</v>
      </c>
      <c r="F11" t="s">
        <v>1025</v>
      </c>
      <c r="G11" t="s">
        <v>1014</v>
      </c>
      <c r="H11">
        <v>5000</v>
      </c>
      <c r="I11" t="s">
        <v>1027</v>
      </c>
      <c r="J11" t="s">
        <v>1030</v>
      </c>
      <c r="K11" t="s">
        <v>1031</v>
      </c>
    </row>
    <row r="12" spans="1:11" x14ac:dyDescent="0.25">
      <c r="A12" t="s">
        <v>11</v>
      </c>
      <c r="B12" s="1">
        <v>45320</v>
      </c>
      <c r="C12">
        <f t="shared" si="0"/>
        <v>2024</v>
      </c>
      <c r="D12" t="str">
        <f t="shared" si="1"/>
        <v>January</v>
      </c>
      <c r="E12" t="str">
        <f t="shared" si="2"/>
        <v>Week5</v>
      </c>
      <c r="F12" t="s">
        <v>1026</v>
      </c>
      <c r="G12" t="s">
        <v>1197</v>
      </c>
      <c r="H12">
        <v>54000</v>
      </c>
      <c r="I12" t="s">
        <v>1027</v>
      </c>
      <c r="J12" t="s">
        <v>1030</v>
      </c>
      <c r="K12" t="s">
        <v>1031</v>
      </c>
    </row>
    <row r="13" spans="1:11" x14ac:dyDescent="0.25">
      <c r="A13" t="s">
        <v>12</v>
      </c>
      <c r="B13" s="1">
        <v>45320</v>
      </c>
      <c r="C13">
        <f t="shared" si="0"/>
        <v>2024</v>
      </c>
      <c r="D13" t="str">
        <f t="shared" si="1"/>
        <v>January</v>
      </c>
      <c r="E13" t="str">
        <f t="shared" si="2"/>
        <v>Week5</v>
      </c>
      <c r="F13" t="s">
        <v>1019</v>
      </c>
      <c r="G13" t="s">
        <v>1197</v>
      </c>
      <c r="H13">
        <v>11000</v>
      </c>
      <c r="I13" t="s">
        <v>1027</v>
      </c>
      <c r="J13" t="s">
        <v>1030</v>
      </c>
      <c r="K13" t="s">
        <v>1031</v>
      </c>
    </row>
    <row r="14" spans="1:11" x14ac:dyDescent="0.25">
      <c r="A14" t="s">
        <v>13</v>
      </c>
      <c r="B14" s="1">
        <v>45321</v>
      </c>
      <c r="C14">
        <f t="shared" si="0"/>
        <v>2024</v>
      </c>
      <c r="D14" t="str">
        <f t="shared" si="1"/>
        <v>January</v>
      </c>
      <c r="E14" t="str">
        <f t="shared" si="2"/>
        <v>Week5</v>
      </c>
      <c r="F14" t="s">
        <v>1020</v>
      </c>
      <c r="G14" t="s">
        <v>1011</v>
      </c>
      <c r="H14">
        <v>30000</v>
      </c>
      <c r="I14" t="s">
        <v>1028</v>
      </c>
      <c r="J14" t="s">
        <v>1030</v>
      </c>
      <c r="K14" t="s">
        <v>1031</v>
      </c>
    </row>
    <row r="15" spans="1:11" x14ac:dyDescent="0.25">
      <c r="A15" t="s">
        <v>14</v>
      </c>
      <c r="B15" s="1">
        <v>45323</v>
      </c>
      <c r="C15">
        <f t="shared" si="0"/>
        <v>2024</v>
      </c>
      <c r="D15" t="str">
        <f t="shared" si="1"/>
        <v>February</v>
      </c>
      <c r="E15" t="str">
        <f t="shared" si="2"/>
        <v>Week1</v>
      </c>
      <c r="F15" t="s">
        <v>1018</v>
      </c>
      <c r="G15" t="s">
        <v>1013</v>
      </c>
      <c r="H15">
        <v>5940</v>
      </c>
      <c r="I15" t="s">
        <v>1027</v>
      </c>
      <c r="J15" t="s">
        <v>1030</v>
      </c>
      <c r="K15" t="s">
        <v>1031</v>
      </c>
    </row>
    <row r="16" spans="1:11" x14ac:dyDescent="0.25">
      <c r="A16" t="s">
        <v>15</v>
      </c>
      <c r="B16" s="1">
        <v>45323</v>
      </c>
      <c r="C16">
        <f t="shared" si="0"/>
        <v>2024</v>
      </c>
      <c r="D16" t="str">
        <f t="shared" si="1"/>
        <v>February</v>
      </c>
      <c r="E16" t="str">
        <f t="shared" si="2"/>
        <v>Week1</v>
      </c>
      <c r="F16" t="s">
        <v>1032</v>
      </c>
      <c r="G16" t="s">
        <v>1014</v>
      </c>
      <c r="H16">
        <v>5000</v>
      </c>
      <c r="I16" t="s">
        <v>1027</v>
      </c>
      <c r="J16" t="s">
        <v>1030</v>
      </c>
      <c r="K16" t="s">
        <v>1031</v>
      </c>
    </row>
    <row r="17" spans="1:11" x14ac:dyDescent="0.25">
      <c r="A17" t="s">
        <v>16</v>
      </c>
      <c r="B17" s="1">
        <v>45324</v>
      </c>
      <c r="C17">
        <f t="shared" si="0"/>
        <v>2024</v>
      </c>
      <c r="D17" t="str">
        <f t="shared" si="1"/>
        <v>February</v>
      </c>
      <c r="E17" t="str">
        <f t="shared" si="2"/>
        <v>Week1</v>
      </c>
      <c r="F17" t="s">
        <v>1036</v>
      </c>
      <c r="G17" t="s">
        <v>1199</v>
      </c>
      <c r="H17">
        <v>18000</v>
      </c>
      <c r="I17" t="s">
        <v>1027</v>
      </c>
      <c r="J17" t="s">
        <v>1030</v>
      </c>
      <c r="K17" t="s">
        <v>1031</v>
      </c>
    </row>
    <row r="18" spans="1:11" x14ac:dyDescent="0.25">
      <c r="A18" t="s">
        <v>17</v>
      </c>
      <c r="B18" s="1">
        <v>45328</v>
      </c>
      <c r="C18">
        <f t="shared" si="0"/>
        <v>2024</v>
      </c>
      <c r="D18" t="str">
        <f t="shared" si="1"/>
        <v>February</v>
      </c>
      <c r="E18" t="str">
        <f t="shared" si="2"/>
        <v>Week1</v>
      </c>
      <c r="F18" t="s">
        <v>1033</v>
      </c>
      <c r="G18" t="s">
        <v>1014</v>
      </c>
      <c r="H18">
        <v>60840</v>
      </c>
      <c r="I18" t="s">
        <v>1028</v>
      </c>
      <c r="J18" t="s">
        <v>1030</v>
      </c>
      <c r="K18" t="s">
        <v>1031</v>
      </c>
    </row>
    <row r="19" spans="1:11" x14ac:dyDescent="0.25">
      <c r="A19" t="s">
        <v>18</v>
      </c>
      <c r="B19" s="1">
        <v>45329</v>
      </c>
      <c r="C19">
        <f t="shared" si="0"/>
        <v>2024</v>
      </c>
      <c r="D19" t="str">
        <f t="shared" si="1"/>
        <v>February</v>
      </c>
      <c r="E19" t="str">
        <f t="shared" si="2"/>
        <v>Week1</v>
      </c>
      <c r="F19" t="s">
        <v>1034</v>
      </c>
      <c r="G19" t="s">
        <v>1010</v>
      </c>
      <c r="H19">
        <v>2500</v>
      </c>
      <c r="I19" t="s">
        <v>1029</v>
      </c>
      <c r="J19" t="s">
        <v>1030</v>
      </c>
      <c r="K19" t="s">
        <v>1031</v>
      </c>
    </row>
    <row r="20" spans="1:11" x14ac:dyDescent="0.25">
      <c r="A20" t="s">
        <v>19</v>
      </c>
      <c r="B20" s="1">
        <v>45327</v>
      </c>
      <c r="C20">
        <f t="shared" si="0"/>
        <v>2024</v>
      </c>
      <c r="D20" t="str">
        <f t="shared" si="1"/>
        <v>February</v>
      </c>
      <c r="E20" t="str">
        <f t="shared" si="2"/>
        <v>Week1</v>
      </c>
      <c r="F20" t="s">
        <v>1035</v>
      </c>
      <c r="G20" t="s">
        <v>1197</v>
      </c>
      <c r="H20">
        <v>11000</v>
      </c>
      <c r="I20" t="s">
        <v>1027</v>
      </c>
      <c r="J20" t="s">
        <v>1030</v>
      </c>
      <c r="K20" t="s">
        <v>1031</v>
      </c>
    </row>
    <row r="21" spans="1:11" x14ac:dyDescent="0.25">
      <c r="A21" t="s">
        <v>20</v>
      </c>
      <c r="B21" s="1">
        <v>45330</v>
      </c>
      <c r="C21">
        <f t="shared" si="0"/>
        <v>2024</v>
      </c>
      <c r="D21" t="str">
        <f t="shared" si="1"/>
        <v>February</v>
      </c>
      <c r="E21" t="str">
        <f t="shared" si="2"/>
        <v>Week2</v>
      </c>
      <c r="F21" t="s">
        <v>1037</v>
      </c>
      <c r="G21" t="s">
        <v>1199</v>
      </c>
      <c r="H21">
        <v>20000</v>
      </c>
      <c r="I21" t="s">
        <v>1027</v>
      </c>
      <c r="J21" t="s">
        <v>1030</v>
      </c>
      <c r="K21" t="s">
        <v>1031</v>
      </c>
    </row>
    <row r="22" spans="1:11" x14ac:dyDescent="0.25">
      <c r="A22" t="s">
        <v>21</v>
      </c>
      <c r="B22" s="1">
        <v>45334</v>
      </c>
      <c r="C22">
        <f t="shared" si="0"/>
        <v>2024</v>
      </c>
      <c r="D22" t="str">
        <f t="shared" si="1"/>
        <v>February</v>
      </c>
      <c r="E22" t="str">
        <f t="shared" si="2"/>
        <v>Week2</v>
      </c>
      <c r="F22" t="s">
        <v>1035</v>
      </c>
      <c r="G22" t="s">
        <v>1197</v>
      </c>
      <c r="H22">
        <v>11000</v>
      </c>
      <c r="I22" t="s">
        <v>1027</v>
      </c>
      <c r="J22" t="s">
        <v>1030</v>
      </c>
      <c r="K22" t="s">
        <v>1031</v>
      </c>
    </row>
    <row r="23" spans="1:11" x14ac:dyDescent="0.25">
      <c r="A23" t="s">
        <v>22</v>
      </c>
      <c r="B23" s="1">
        <v>45334</v>
      </c>
      <c r="C23">
        <f t="shared" si="0"/>
        <v>2024</v>
      </c>
      <c r="D23" t="str">
        <f t="shared" si="1"/>
        <v>February</v>
      </c>
      <c r="E23" t="str">
        <f t="shared" si="2"/>
        <v>Week2</v>
      </c>
      <c r="F23" t="s">
        <v>1036</v>
      </c>
      <c r="G23" t="s">
        <v>1199</v>
      </c>
      <c r="H23">
        <v>20000</v>
      </c>
      <c r="I23" t="s">
        <v>1027</v>
      </c>
      <c r="J23" t="s">
        <v>1030</v>
      </c>
      <c r="K23" t="s">
        <v>1031</v>
      </c>
    </row>
    <row r="24" spans="1:11" x14ac:dyDescent="0.25">
      <c r="A24" t="s">
        <v>23</v>
      </c>
      <c r="B24" s="1">
        <v>45334</v>
      </c>
      <c r="C24">
        <f t="shared" si="0"/>
        <v>2024</v>
      </c>
      <c r="D24" t="str">
        <f t="shared" si="1"/>
        <v>February</v>
      </c>
      <c r="E24" t="str">
        <f t="shared" si="2"/>
        <v>Week2</v>
      </c>
      <c r="F24" t="s">
        <v>1018</v>
      </c>
      <c r="G24" t="s">
        <v>1013</v>
      </c>
      <c r="H24">
        <v>1970</v>
      </c>
      <c r="I24" t="s">
        <v>1027</v>
      </c>
      <c r="J24" t="s">
        <v>1030</v>
      </c>
      <c r="K24" t="s">
        <v>1031</v>
      </c>
    </row>
    <row r="25" spans="1:11" x14ac:dyDescent="0.25">
      <c r="A25" t="s">
        <v>24</v>
      </c>
      <c r="B25" s="1">
        <v>45334</v>
      </c>
      <c r="C25">
        <f t="shared" si="0"/>
        <v>2024</v>
      </c>
      <c r="D25" t="str">
        <f t="shared" si="1"/>
        <v>February</v>
      </c>
      <c r="E25" t="str">
        <f t="shared" si="2"/>
        <v>Week2</v>
      </c>
      <c r="F25" t="s">
        <v>1038</v>
      </c>
      <c r="G25" t="s">
        <v>1198</v>
      </c>
      <c r="H25">
        <v>12500</v>
      </c>
      <c r="I25" t="s">
        <v>1029</v>
      </c>
      <c r="J25" t="s">
        <v>1030</v>
      </c>
      <c r="K25" t="s">
        <v>1031</v>
      </c>
    </row>
    <row r="26" spans="1:11" x14ac:dyDescent="0.25">
      <c r="A26" t="s">
        <v>25</v>
      </c>
      <c r="B26" s="1">
        <v>45341</v>
      </c>
      <c r="C26">
        <f t="shared" si="0"/>
        <v>2024</v>
      </c>
      <c r="D26" t="str">
        <f t="shared" si="1"/>
        <v>February</v>
      </c>
      <c r="E26" t="str">
        <f t="shared" si="2"/>
        <v>Week3</v>
      </c>
      <c r="F26" t="s">
        <v>1035</v>
      </c>
      <c r="G26" t="s">
        <v>1197</v>
      </c>
      <c r="H26">
        <v>11000</v>
      </c>
      <c r="I26" t="s">
        <v>1027</v>
      </c>
      <c r="J26" t="s">
        <v>1030</v>
      </c>
      <c r="K26" t="s">
        <v>1031</v>
      </c>
    </row>
    <row r="27" spans="1:11" x14ac:dyDescent="0.25">
      <c r="A27" t="s">
        <v>26</v>
      </c>
      <c r="B27" s="1">
        <v>45341</v>
      </c>
      <c r="C27">
        <f t="shared" si="0"/>
        <v>2024</v>
      </c>
      <c r="D27" t="str">
        <f t="shared" si="1"/>
        <v>February</v>
      </c>
      <c r="E27" t="str">
        <f t="shared" si="2"/>
        <v>Week3</v>
      </c>
      <c r="F27" t="s">
        <v>1039</v>
      </c>
      <c r="G27" t="s">
        <v>1014</v>
      </c>
      <c r="H27">
        <v>3000</v>
      </c>
      <c r="I27" t="s">
        <v>1028</v>
      </c>
      <c r="J27" t="s">
        <v>1030</v>
      </c>
      <c r="K27" t="s">
        <v>1031</v>
      </c>
    </row>
    <row r="28" spans="1:11" x14ac:dyDescent="0.25">
      <c r="A28" t="s">
        <v>27</v>
      </c>
      <c r="B28" s="1">
        <v>45348</v>
      </c>
      <c r="C28">
        <f t="shared" si="0"/>
        <v>2024</v>
      </c>
      <c r="D28" t="str">
        <f t="shared" si="1"/>
        <v>February</v>
      </c>
      <c r="E28" t="str">
        <f t="shared" si="2"/>
        <v>Week4</v>
      </c>
      <c r="F28" t="s">
        <v>1035</v>
      </c>
      <c r="G28" t="s">
        <v>1197</v>
      </c>
      <c r="H28">
        <v>11000</v>
      </c>
      <c r="I28" t="s">
        <v>1027</v>
      </c>
      <c r="J28" t="s">
        <v>1030</v>
      </c>
      <c r="K28" t="s">
        <v>1031</v>
      </c>
    </row>
    <row r="29" spans="1:11" x14ac:dyDescent="0.25">
      <c r="A29" t="s">
        <v>28</v>
      </c>
      <c r="B29" s="1">
        <v>45348</v>
      </c>
      <c r="C29">
        <f t="shared" si="0"/>
        <v>2024</v>
      </c>
      <c r="D29" t="str">
        <f t="shared" si="1"/>
        <v>February</v>
      </c>
      <c r="E29" t="str">
        <f t="shared" si="2"/>
        <v>Week4</v>
      </c>
      <c r="F29" t="s">
        <v>1025</v>
      </c>
      <c r="G29" t="s">
        <v>1014</v>
      </c>
      <c r="H29">
        <v>5000</v>
      </c>
      <c r="I29" t="s">
        <v>1027</v>
      </c>
      <c r="J29" t="s">
        <v>1030</v>
      </c>
      <c r="K29" t="s">
        <v>1031</v>
      </c>
    </row>
    <row r="30" spans="1:11" x14ac:dyDescent="0.25">
      <c r="A30" t="s">
        <v>29</v>
      </c>
      <c r="B30" s="1">
        <v>45350</v>
      </c>
      <c r="C30">
        <f t="shared" si="0"/>
        <v>2024</v>
      </c>
      <c r="D30" t="str">
        <f t="shared" si="1"/>
        <v>February</v>
      </c>
      <c r="E30" t="str">
        <f t="shared" si="2"/>
        <v>Week4</v>
      </c>
      <c r="F30" t="s">
        <v>1020</v>
      </c>
      <c r="G30" t="s">
        <v>1011</v>
      </c>
      <c r="H30">
        <v>30000</v>
      </c>
      <c r="I30" t="s">
        <v>1028</v>
      </c>
      <c r="J30" t="s">
        <v>1030</v>
      </c>
      <c r="K30" t="s">
        <v>1031</v>
      </c>
    </row>
    <row r="31" spans="1:11" x14ac:dyDescent="0.25">
      <c r="A31" t="s">
        <v>30</v>
      </c>
      <c r="B31" s="1">
        <v>45351</v>
      </c>
      <c r="C31">
        <f t="shared" si="0"/>
        <v>2024</v>
      </c>
      <c r="D31" t="str">
        <f t="shared" si="1"/>
        <v>February</v>
      </c>
      <c r="E31" t="str">
        <f t="shared" si="2"/>
        <v>Week5</v>
      </c>
      <c r="F31" t="s">
        <v>1023</v>
      </c>
      <c r="G31" t="s">
        <v>1201</v>
      </c>
      <c r="H31">
        <v>7000</v>
      </c>
      <c r="I31" t="s">
        <v>1027</v>
      </c>
      <c r="J31" t="s">
        <v>1030</v>
      </c>
      <c r="K31" t="s">
        <v>1031</v>
      </c>
    </row>
    <row r="32" spans="1:11" x14ac:dyDescent="0.25">
      <c r="A32" t="s">
        <v>31</v>
      </c>
      <c r="B32" s="1">
        <v>45351</v>
      </c>
      <c r="C32">
        <f t="shared" si="0"/>
        <v>2024</v>
      </c>
      <c r="D32" t="str">
        <f t="shared" si="1"/>
        <v>February</v>
      </c>
      <c r="E32" t="str">
        <f t="shared" si="2"/>
        <v>Week5</v>
      </c>
      <c r="F32" t="s">
        <v>1071</v>
      </c>
      <c r="G32" t="s">
        <v>1012</v>
      </c>
      <c r="H32">
        <v>21000</v>
      </c>
      <c r="I32" t="s">
        <v>1028</v>
      </c>
      <c r="J32" t="s">
        <v>1030</v>
      </c>
      <c r="K32" t="s">
        <v>1031</v>
      </c>
    </row>
    <row r="33" spans="1:11" x14ac:dyDescent="0.25">
      <c r="A33" t="s">
        <v>32</v>
      </c>
      <c r="B33" s="1">
        <v>45352</v>
      </c>
      <c r="C33">
        <f t="shared" si="0"/>
        <v>2024</v>
      </c>
      <c r="D33" t="str">
        <f t="shared" si="1"/>
        <v>March</v>
      </c>
      <c r="E33" t="str">
        <f t="shared" si="2"/>
        <v>Week1</v>
      </c>
      <c r="F33" t="s">
        <v>1018</v>
      </c>
      <c r="G33" t="s">
        <v>1013</v>
      </c>
      <c r="H33">
        <v>7000</v>
      </c>
      <c r="I33" t="s">
        <v>1027</v>
      </c>
      <c r="J33" t="s">
        <v>1030</v>
      </c>
      <c r="K33" t="s">
        <v>1031</v>
      </c>
    </row>
    <row r="34" spans="1:11" x14ac:dyDescent="0.25">
      <c r="A34" t="s">
        <v>33</v>
      </c>
      <c r="B34" s="1">
        <v>45355</v>
      </c>
      <c r="C34">
        <f t="shared" si="0"/>
        <v>2024</v>
      </c>
      <c r="D34" t="str">
        <f t="shared" si="1"/>
        <v>March</v>
      </c>
      <c r="E34" t="str">
        <f t="shared" si="2"/>
        <v>Week1</v>
      </c>
      <c r="F34" t="s">
        <v>1035</v>
      </c>
      <c r="G34" t="s">
        <v>1197</v>
      </c>
      <c r="H34">
        <v>11000</v>
      </c>
      <c r="I34" t="s">
        <v>1027</v>
      </c>
      <c r="J34" t="s">
        <v>1030</v>
      </c>
      <c r="K34" t="s">
        <v>1031</v>
      </c>
    </row>
    <row r="35" spans="1:11" x14ac:dyDescent="0.25">
      <c r="A35" t="s">
        <v>34</v>
      </c>
      <c r="B35" s="1">
        <v>45355</v>
      </c>
      <c r="C35">
        <f t="shared" si="0"/>
        <v>2024</v>
      </c>
      <c r="D35" t="str">
        <f t="shared" si="1"/>
        <v>March</v>
      </c>
      <c r="E35" t="str">
        <f t="shared" si="2"/>
        <v>Week1</v>
      </c>
      <c r="F35" t="s">
        <v>1040</v>
      </c>
      <c r="G35" t="s">
        <v>1199</v>
      </c>
      <c r="H35">
        <v>18000</v>
      </c>
      <c r="I35" t="s">
        <v>1027</v>
      </c>
      <c r="J35" t="s">
        <v>1030</v>
      </c>
      <c r="K35" t="s">
        <v>1031</v>
      </c>
    </row>
    <row r="36" spans="1:11" x14ac:dyDescent="0.25">
      <c r="A36" t="s">
        <v>35</v>
      </c>
      <c r="B36" s="1">
        <v>45356</v>
      </c>
      <c r="C36">
        <f t="shared" si="0"/>
        <v>2024</v>
      </c>
      <c r="D36" t="str">
        <f t="shared" si="1"/>
        <v>March</v>
      </c>
      <c r="E36" t="str">
        <f t="shared" si="2"/>
        <v>Week1</v>
      </c>
      <c r="F36" t="s">
        <v>1037</v>
      </c>
      <c r="G36" t="s">
        <v>1199</v>
      </c>
      <c r="H36">
        <v>20000</v>
      </c>
      <c r="I36" t="s">
        <v>1027</v>
      </c>
      <c r="J36" t="s">
        <v>1030</v>
      </c>
      <c r="K36" t="s">
        <v>1031</v>
      </c>
    </row>
    <row r="37" spans="1:11" x14ac:dyDescent="0.25">
      <c r="A37" t="s">
        <v>36</v>
      </c>
      <c r="B37" s="1">
        <v>45355</v>
      </c>
      <c r="C37">
        <f t="shared" si="0"/>
        <v>2024</v>
      </c>
      <c r="D37" t="str">
        <f t="shared" si="1"/>
        <v>March</v>
      </c>
      <c r="E37" t="str">
        <f t="shared" si="2"/>
        <v>Week1</v>
      </c>
      <c r="F37" t="s">
        <v>1033</v>
      </c>
      <c r="G37" t="s">
        <v>1014</v>
      </c>
      <c r="H37">
        <v>64460</v>
      </c>
      <c r="I37" t="s">
        <v>1028</v>
      </c>
      <c r="J37" t="s">
        <v>1030</v>
      </c>
      <c r="K37" t="s">
        <v>1031</v>
      </c>
    </row>
    <row r="38" spans="1:11" x14ac:dyDescent="0.25">
      <c r="A38" t="s">
        <v>37</v>
      </c>
      <c r="B38" s="1">
        <v>45358</v>
      </c>
      <c r="C38">
        <f t="shared" si="0"/>
        <v>2024</v>
      </c>
      <c r="D38" t="str">
        <f t="shared" si="1"/>
        <v>March</v>
      </c>
      <c r="E38" t="str">
        <f t="shared" si="2"/>
        <v>Week1</v>
      </c>
      <c r="F38" t="s">
        <v>1020</v>
      </c>
      <c r="G38" t="s">
        <v>1011</v>
      </c>
      <c r="H38">
        <v>17500</v>
      </c>
      <c r="I38" t="s">
        <v>1028</v>
      </c>
      <c r="J38" t="s">
        <v>1030</v>
      </c>
      <c r="K38" t="s">
        <v>1031</v>
      </c>
    </row>
    <row r="39" spans="1:11" x14ac:dyDescent="0.25">
      <c r="A39" t="s">
        <v>38</v>
      </c>
      <c r="B39" s="1">
        <v>45358</v>
      </c>
      <c r="C39">
        <f t="shared" si="0"/>
        <v>2024</v>
      </c>
      <c r="D39" t="str">
        <f t="shared" si="1"/>
        <v>March</v>
      </c>
      <c r="E39" t="str">
        <f t="shared" si="2"/>
        <v>Week1</v>
      </c>
      <c r="F39" t="s">
        <v>1032</v>
      </c>
      <c r="G39" t="s">
        <v>1014</v>
      </c>
      <c r="H39">
        <v>5000</v>
      </c>
      <c r="I39" t="s">
        <v>1027</v>
      </c>
      <c r="J39" t="s">
        <v>1030</v>
      </c>
      <c r="K39" t="s">
        <v>1031</v>
      </c>
    </row>
    <row r="40" spans="1:11" x14ac:dyDescent="0.25">
      <c r="A40" t="s">
        <v>39</v>
      </c>
      <c r="B40" s="1">
        <v>45356</v>
      </c>
      <c r="C40">
        <f t="shared" si="0"/>
        <v>2024</v>
      </c>
      <c r="D40" t="str">
        <f t="shared" si="1"/>
        <v>March</v>
      </c>
      <c r="E40" t="str">
        <f t="shared" si="2"/>
        <v>Week1</v>
      </c>
      <c r="F40" t="s">
        <v>1020</v>
      </c>
      <c r="G40" t="s">
        <v>1011</v>
      </c>
      <c r="H40">
        <v>30000</v>
      </c>
      <c r="I40" t="s">
        <v>1028</v>
      </c>
      <c r="J40" t="s">
        <v>1030</v>
      </c>
      <c r="K40" t="s">
        <v>1031</v>
      </c>
    </row>
    <row r="41" spans="1:11" x14ac:dyDescent="0.25">
      <c r="A41" t="s">
        <v>40</v>
      </c>
      <c r="B41" s="1">
        <v>45362</v>
      </c>
      <c r="C41">
        <f t="shared" si="0"/>
        <v>2024</v>
      </c>
      <c r="D41" t="str">
        <f t="shared" si="1"/>
        <v>March</v>
      </c>
      <c r="E41" t="str">
        <f t="shared" si="2"/>
        <v>Week2</v>
      </c>
      <c r="F41" t="s">
        <v>1035</v>
      </c>
      <c r="G41" t="s">
        <v>1197</v>
      </c>
      <c r="H41">
        <v>11000</v>
      </c>
      <c r="I41" t="s">
        <v>1027</v>
      </c>
      <c r="J41" t="s">
        <v>1030</v>
      </c>
      <c r="K41" t="s">
        <v>1031</v>
      </c>
    </row>
    <row r="42" spans="1:11" x14ac:dyDescent="0.25">
      <c r="A42" t="s">
        <v>41</v>
      </c>
      <c r="B42" s="1">
        <v>45362</v>
      </c>
      <c r="C42">
        <f t="shared" si="0"/>
        <v>2024</v>
      </c>
      <c r="D42" t="str">
        <f t="shared" si="1"/>
        <v>March</v>
      </c>
      <c r="E42" t="str">
        <f t="shared" si="2"/>
        <v>Week2</v>
      </c>
      <c r="F42" t="s">
        <v>1041</v>
      </c>
      <c r="G42" t="s">
        <v>1010</v>
      </c>
      <c r="H42">
        <v>1700</v>
      </c>
      <c r="I42" t="s">
        <v>1027</v>
      </c>
      <c r="J42" t="s">
        <v>1030</v>
      </c>
      <c r="K42" t="s">
        <v>1031</v>
      </c>
    </row>
    <row r="43" spans="1:11" x14ac:dyDescent="0.25">
      <c r="A43" t="s">
        <v>42</v>
      </c>
      <c r="B43" s="1">
        <v>45362</v>
      </c>
      <c r="C43">
        <f t="shared" si="0"/>
        <v>2024</v>
      </c>
      <c r="D43" t="str">
        <f t="shared" si="1"/>
        <v>March</v>
      </c>
      <c r="E43" t="str">
        <f t="shared" si="2"/>
        <v>Week2</v>
      </c>
      <c r="F43" t="s">
        <v>1042</v>
      </c>
      <c r="G43" t="s">
        <v>1199</v>
      </c>
      <c r="H43">
        <v>20000</v>
      </c>
      <c r="I43" t="s">
        <v>1027</v>
      </c>
      <c r="J43" t="s">
        <v>1030</v>
      </c>
      <c r="K43" t="s">
        <v>1031</v>
      </c>
    </row>
    <row r="44" spans="1:11" x14ac:dyDescent="0.25">
      <c r="A44" t="s">
        <v>43</v>
      </c>
      <c r="B44" s="1">
        <v>45363</v>
      </c>
      <c r="C44">
        <f t="shared" si="0"/>
        <v>2024</v>
      </c>
      <c r="D44" t="str">
        <f t="shared" si="1"/>
        <v>March</v>
      </c>
      <c r="E44" t="str">
        <f t="shared" si="2"/>
        <v>Week2</v>
      </c>
      <c r="F44" t="s">
        <v>1043</v>
      </c>
      <c r="G44" t="s">
        <v>1010</v>
      </c>
      <c r="H44">
        <v>2000</v>
      </c>
      <c r="I44" t="s">
        <v>1029</v>
      </c>
      <c r="J44" t="s">
        <v>1030</v>
      </c>
      <c r="K44" t="s">
        <v>1031</v>
      </c>
    </row>
    <row r="45" spans="1:11" x14ac:dyDescent="0.25">
      <c r="A45" t="s">
        <v>44</v>
      </c>
      <c r="B45" s="1">
        <v>45363</v>
      </c>
      <c r="C45">
        <f t="shared" si="0"/>
        <v>2024</v>
      </c>
      <c r="D45" t="str">
        <f t="shared" si="1"/>
        <v>March</v>
      </c>
      <c r="E45" t="str">
        <f t="shared" si="2"/>
        <v>Week2</v>
      </c>
      <c r="F45" t="s">
        <v>1044</v>
      </c>
      <c r="G45" t="s">
        <v>1014</v>
      </c>
      <c r="H45">
        <v>6000</v>
      </c>
      <c r="I45" t="s">
        <v>1028</v>
      </c>
      <c r="J45" t="s">
        <v>1030</v>
      </c>
      <c r="K45" t="s">
        <v>1031</v>
      </c>
    </row>
    <row r="46" spans="1:11" x14ac:dyDescent="0.25">
      <c r="A46" t="s">
        <v>45</v>
      </c>
      <c r="B46" s="1">
        <v>45369</v>
      </c>
      <c r="C46">
        <f t="shared" si="0"/>
        <v>2024</v>
      </c>
      <c r="D46" t="str">
        <f t="shared" si="1"/>
        <v>March</v>
      </c>
      <c r="E46" t="str">
        <f t="shared" si="2"/>
        <v>Week3</v>
      </c>
      <c r="F46" t="s">
        <v>1035</v>
      </c>
      <c r="G46" t="s">
        <v>1197</v>
      </c>
      <c r="H46">
        <v>11000</v>
      </c>
      <c r="I46" t="s">
        <v>1027</v>
      </c>
      <c r="J46" t="s">
        <v>1030</v>
      </c>
      <c r="K46" t="s">
        <v>1031</v>
      </c>
    </row>
    <row r="47" spans="1:11" x14ac:dyDescent="0.25">
      <c r="A47" t="s">
        <v>46</v>
      </c>
      <c r="B47" s="1">
        <v>45369</v>
      </c>
      <c r="C47">
        <f t="shared" si="0"/>
        <v>2024</v>
      </c>
      <c r="D47" t="str">
        <f t="shared" si="1"/>
        <v>March</v>
      </c>
      <c r="E47" t="str">
        <f t="shared" si="2"/>
        <v>Week3</v>
      </c>
      <c r="F47" t="s">
        <v>1018</v>
      </c>
      <c r="G47" t="s">
        <v>1013</v>
      </c>
      <c r="H47">
        <v>2000</v>
      </c>
      <c r="I47" t="s">
        <v>1027</v>
      </c>
      <c r="J47" t="s">
        <v>1030</v>
      </c>
      <c r="K47" t="s">
        <v>1031</v>
      </c>
    </row>
    <row r="48" spans="1:11" x14ac:dyDescent="0.25">
      <c r="A48" t="s">
        <v>47</v>
      </c>
      <c r="B48" s="1">
        <v>45369</v>
      </c>
      <c r="C48">
        <f t="shared" si="0"/>
        <v>2024</v>
      </c>
      <c r="D48" t="str">
        <f t="shared" si="1"/>
        <v>March</v>
      </c>
      <c r="E48" t="str">
        <f t="shared" si="2"/>
        <v>Week3</v>
      </c>
      <c r="F48" t="s">
        <v>1026</v>
      </c>
      <c r="G48" t="s">
        <v>1197</v>
      </c>
      <c r="H48">
        <v>40500</v>
      </c>
      <c r="I48" t="s">
        <v>1027</v>
      </c>
      <c r="J48" t="s">
        <v>1030</v>
      </c>
      <c r="K48" t="s">
        <v>1031</v>
      </c>
    </row>
    <row r="49" spans="1:11" x14ac:dyDescent="0.25">
      <c r="A49" t="s">
        <v>48</v>
      </c>
      <c r="B49" s="1">
        <v>45371</v>
      </c>
      <c r="C49">
        <f t="shared" si="0"/>
        <v>2024</v>
      </c>
      <c r="D49" t="str">
        <f t="shared" si="1"/>
        <v>March</v>
      </c>
      <c r="E49" t="str">
        <f t="shared" si="2"/>
        <v>Week3</v>
      </c>
      <c r="F49" t="s">
        <v>1041</v>
      </c>
      <c r="G49" t="s">
        <v>1010</v>
      </c>
      <c r="H49">
        <v>1500</v>
      </c>
      <c r="I49" t="s">
        <v>1029</v>
      </c>
      <c r="J49" t="s">
        <v>1030</v>
      </c>
      <c r="K49" t="s">
        <v>1031</v>
      </c>
    </row>
    <row r="50" spans="1:11" x14ac:dyDescent="0.25">
      <c r="A50" t="s">
        <v>49</v>
      </c>
      <c r="B50" s="1">
        <v>45372</v>
      </c>
      <c r="C50">
        <f t="shared" si="0"/>
        <v>2024</v>
      </c>
      <c r="D50" t="str">
        <f t="shared" si="1"/>
        <v>March</v>
      </c>
      <c r="E50" t="str">
        <f t="shared" si="2"/>
        <v>Week3</v>
      </c>
      <c r="F50" t="s">
        <v>1046</v>
      </c>
      <c r="G50" t="s">
        <v>1014</v>
      </c>
      <c r="H50">
        <v>3600</v>
      </c>
      <c r="I50" t="s">
        <v>1028</v>
      </c>
      <c r="J50" t="s">
        <v>1030</v>
      </c>
      <c r="K50" t="s">
        <v>1031</v>
      </c>
    </row>
    <row r="51" spans="1:11" x14ac:dyDescent="0.25">
      <c r="A51" t="s">
        <v>50</v>
      </c>
      <c r="B51" s="1">
        <v>45373</v>
      </c>
      <c r="C51">
        <f t="shared" si="0"/>
        <v>2024</v>
      </c>
      <c r="D51" t="str">
        <f t="shared" si="1"/>
        <v>March</v>
      </c>
      <c r="E51" t="str">
        <f t="shared" si="2"/>
        <v>Week4</v>
      </c>
      <c r="F51" t="s">
        <v>1047</v>
      </c>
      <c r="G51" t="s">
        <v>1198</v>
      </c>
      <c r="H51">
        <v>5000</v>
      </c>
      <c r="I51" t="s">
        <v>1027</v>
      </c>
      <c r="J51" t="s">
        <v>1030</v>
      </c>
      <c r="K51" t="s">
        <v>1031</v>
      </c>
    </row>
    <row r="52" spans="1:11" x14ac:dyDescent="0.25">
      <c r="A52" t="s">
        <v>51</v>
      </c>
      <c r="B52" s="1">
        <v>45376</v>
      </c>
      <c r="C52">
        <f t="shared" si="0"/>
        <v>2024</v>
      </c>
      <c r="D52" t="str">
        <f t="shared" si="1"/>
        <v>March</v>
      </c>
      <c r="E52" t="str">
        <f t="shared" si="2"/>
        <v>Week4</v>
      </c>
      <c r="F52" t="s">
        <v>1035</v>
      </c>
      <c r="G52" t="s">
        <v>1197</v>
      </c>
      <c r="H52">
        <v>11000</v>
      </c>
      <c r="I52" t="s">
        <v>1027</v>
      </c>
      <c r="J52" t="s">
        <v>1030</v>
      </c>
      <c r="K52" t="s">
        <v>1031</v>
      </c>
    </row>
    <row r="53" spans="1:11" x14ac:dyDescent="0.25">
      <c r="A53" t="s">
        <v>52</v>
      </c>
      <c r="B53" s="1">
        <v>45376</v>
      </c>
      <c r="C53">
        <f t="shared" si="0"/>
        <v>2024</v>
      </c>
      <c r="D53" t="str">
        <f t="shared" si="1"/>
        <v>March</v>
      </c>
      <c r="E53" t="str">
        <f t="shared" si="2"/>
        <v>Week4</v>
      </c>
      <c r="F53" t="s">
        <v>1025</v>
      </c>
      <c r="G53" t="s">
        <v>1014</v>
      </c>
      <c r="H53">
        <v>5000</v>
      </c>
      <c r="I53" t="s">
        <v>1027</v>
      </c>
      <c r="J53" t="s">
        <v>1030</v>
      </c>
      <c r="K53" t="s">
        <v>1031</v>
      </c>
    </row>
    <row r="54" spans="1:11" x14ac:dyDescent="0.25">
      <c r="A54" t="s">
        <v>53</v>
      </c>
      <c r="B54" s="1">
        <v>45377</v>
      </c>
      <c r="C54">
        <f t="shared" si="0"/>
        <v>2024</v>
      </c>
      <c r="D54" t="str">
        <f t="shared" si="1"/>
        <v>March</v>
      </c>
      <c r="E54" t="str">
        <f t="shared" si="2"/>
        <v>Week4</v>
      </c>
      <c r="F54" t="s">
        <v>1048</v>
      </c>
      <c r="G54" t="s">
        <v>1198</v>
      </c>
      <c r="H54">
        <v>94000</v>
      </c>
      <c r="I54" t="s">
        <v>1028</v>
      </c>
      <c r="J54" t="s">
        <v>1030</v>
      </c>
      <c r="K54" t="s">
        <v>1031</v>
      </c>
    </row>
    <row r="55" spans="1:11" x14ac:dyDescent="0.25">
      <c r="A55" t="s">
        <v>54</v>
      </c>
      <c r="B55" s="1">
        <v>45379</v>
      </c>
      <c r="C55">
        <f t="shared" si="0"/>
        <v>2024</v>
      </c>
      <c r="D55" t="str">
        <f t="shared" si="1"/>
        <v>March</v>
      </c>
      <c r="E55" t="str">
        <f t="shared" si="2"/>
        <v>Week4</v>
      </c>
      <c r="F55" t="s">
        <v>1023</v>
      </c>
      <c r="G55" t="s">
        <v>1201</v>
      </c>
      <c r="H55">
        <v>7000</v>
      </c>
      <c r="I55" t="s">
        <v>1027</v>
      </c>
      <c r="J55" t="s">
        <v>1030</v>
      </c>
      <c r="K55" t="s">
        <v>1031</v>
      </c>
    </row>
    <row r="56" spans="1:11" x14ac:dyDescent="0.25">
      <c r="A56" t="s">
        <v>55</v>
      </c>
      <c r="B56" s="1">
        <v>45380</v>
      </c>
      <c r="C56">
        <f t="shared" si="0"/>
        <v>2024</v>
      </c>
      <c r="D56" t="str">
        <f t="shared" si="1"/>
        <v>March</v>
      </c>
      <c r="E56" t="str">
        <f t="shared" si="2"/>
        <v>Week5</v>
      </c>
      <c r="F56" t="s">
        <v>1018</v>
      </c>
      <c r="G56" t="s">
        <v>1013</v>
      </c>
      <c r="H56">
        <v>5000</v>
      </c>
      <c r="I56" t="s">
        <v>1027</v>
      </c>
      <c r="J56" t="s">
        <v>1030</v>
      </c>
      <c r="K56" t="s">
        <v>1031</v>
      </c>
    </row>
    <row r="57" spans="1:11" x14ac:dyDescent="0.25">
      <c r="A57" t="s">
        <v>56</v>
      </c>
      <c r="B57" s="1">
        <v>45384</v>
      </c>
      <c r="C57">
        <f t="shared" si="0"/>
        <v>2024</v>
      </c>
      <c r="D57" t="str">
        <f t="shared" si="1"/>
        <v>April</v>
      </c>
      <c r="E57" t="str">
        <f t="shared" si="2"/>
        <v>Week1</v>
      </c>
      <c r="F57" t="s">
        <v>1049</v>
      </c>
      <c r="G57" t="s">
        <v>1199</v>
      </c>
      <c r="H57">
        <v>20000</v>
      </c>
      <c r="I57" t="s">
        <v>1027</v>
      </c>
      <c r="J57" t="s">
        <v>1030</v>
      </c>
      <c r="K57" t="s">
        <v>1031</v>
      </c>
    </row>
    <row r="58" spans="1:11" x14ac:dyDescent="0.25">
      <c r="A58" t="s">
        <v>57</v>
      </c>
      <c r="B58" s="1">
        <v>45384</v>
      </c>
      <c r="C58">
        <f t="shared" si="0"/>
        <v>2024</v>
      </c>
      <c r="D58" t="str">
        <f t="shared" si="1"/>
        <v>April</v>
      </c>
      <c r="E58" t="str">
        <f t="shared" si="2"/>
        <v>Week1</v>
      </c>
      <c r="F58" t="s">
        <v>1032</v>
      </c>
      <c r="G58" t="s">
        <v>1014</v>
      </c>
      <c r="H58">
        <v>5000</v>
      </c>
      <c r="I58" t="s">
        <v>1027</v>
      </c>
      <c r="J58" t="s">
        <v>1030</v>
      </c>
      <c r="K58" t="s">
        <v>1031</v>
      </c>
    </row>
    <row r="59" spans="1:11" x14ac:dyDescent="0.25">
      <c r="A59" t="s">
        <v>58</v>
      </c>
      <c r="B59" s="1">
        <v>45384</v>
      </c>
      <c r="C59">
        <f t="shared" si="0"/>
        <v>2024</v>
      </c>
      <c r="D59" t="str">
        <f t="shared" si="1"/>
        <v>April</v>
      </c>
      <c r="E59" t="str">
        <f t="shared" si="2"/>
        <v>Week1</v>
      </c>
      <c r="F59" t="s">
        <v>1050</v>
      </c>
      <c r="G59" t="s">
        <v>1198</v>
      </c>
      <c r="H59">
        <v>2000</v>
      </c>
      <c r="I59" t="s">
        <v>1027</v>
      </c>
      <c r="J59" t="s">
        <v>1030</v>
      </c>
      <c r="K59" t="s">
        <v>1031</v>
      </c>
    </row>
    <row r="60" spans="1:11" x14ac:dyDescent="0.25">
      <c r="A60" t="s">
        <v>59</v>
      </c>
      <c r="B60" s="1">
        <v>45384</v>
      </c>
      <c r="C60">
        <f t="shared" si="0"/>
        <v>2024</v>
      </c>
      <c r="D60" t="str">
        <f t="shared" si="1"/>
        <v>April</v>
      </c>
      <c r="E60" t="str">
        <f t="shared" si="2"/>
        <v>Week1</v>
      </c>
      <c r="F60" t="s">
        <v>1019</v>
      </c>
      <c r="G60" t="s">
        <v>1197</v>
      </c>
      <c r="H60">
        <v>11000</v>
      </c>
      <c r="I60" t="s">
        <v>1027</v>
      </c>
      <c r="J60" t="s">
        <v>1030</v>
      </c>
      <c r="K60" t="s">
        <v>1031</v>
      </c>
    </row>
    <row r="61" spans="1:11" x14ac:dyDescent="0.25">
      <c r="A61" t="s">
        <v>60</v>
      </c>
      <c r="B61" s="1">
        <v>45385</v>
      </c>
      <c r="C61">
        <f t="shared" si="0"/>
        <v>2024</v>
      </c>
      <c r="D61" t="str">
        <f t="shared" si="1"/>
        <v>April</v>
      </c>
      <c r="E61" t="str">
        <f t="shared" si="2"/>
        <v>Week1</v>
      </c>
      <c r="F61" t="s">
        <v>1037</v>
      </c>
      <c r="G61" t="s">
        <v>1199</v>
      </c>
      <c r="H61">
        <v>18000</v>
      </c>
      <c r="I61" t="s">
        <v>1027</v>
      </c>
      <c r="J61" t="s">
        <v>1030</v>
      </c>
      <c r="K61" t="s">
        <v>1031</v>
      </c>
    </row>
    <row r="62" spans="1:11" x14ac:dyDescent="0.25">
      <c r="A62" t="s">
        <v>61</v>
      </c>
      <c r="B62" s="1">
        <v>45385</v>
      </c>
      <c r="C62">
        <f t="shared" si="0"/>
        <v>2024</v>
      </c>
      <c r="D62" t="str">
        <f t="shared" si="1"/>
        <v>April</v>
      </c>
      <c r="E62" t="str">
        <f t="shared" si="2"/>
        <v>Week1</v>
      </c>
      <c r="F62" t="s">
        <v>1018</v>
      </c>
      <c r="G62" t="s">
        <v>1013</v>
      </c>
      <c r="H62">
        <v>2000</v>
      </c>
      <c r="I62" t="s">
        <v>1027</v>
      </c>
      <c r="J62" t="s">
        <v>1030</v>
      </c>
      <c r="K62" t="s">
        <v>1031</v>
      </c>
    </row>
    <row r="63" spans="1:11" x14ac:dyDescent="0.25">
      <c r="A63" t="s">
        <v>62</v>
      </c>
      <c r="B63" s="1">
        <v>45386</v>
      </c>
      <c r="C63">
        <f t="shared" si="0"/>
        <v>2024</v>
      </c>
      <c r="D63" t="str">
        <f t="shared" si="1"/>
        <v>April</v>
      </c>
      <c r="E63" t="str">
        <f t="shared" si="2"/>
        <v>Week1</v>
      </c>
      <c r="F63" t="s">
        <v>1033</v>
      </c>
      <c r="G63" t="s">
        <v>1014</v>
      </c>
      <c r="H63">
        <v>72320</v>
      </c>
      <c r="I63" t="s">
        <v>1028</v>
      </c>
      <c r="J63" t="s">
        <v>1030</v>
      </c>
      <c r="K63" t="s">
        <v>1031</v>
      </c>
    </row>
    <row r="64" spans="1:11" x14ac:dyDescent="0.25">
      <c r="A64" t="s">
        <v>63</v>
      </c>
      <c r="B64" s="1">
        <v>45387</v>
      </c>
      <c r="C64">
        <f t="shared" si="0"/>
        <v>2024</v>
      </c>
      <c r="D64" t="str">
        <f t="shared" si="1"/>
        <v>April</v>
      </c>
      <c r="E64" t="str">
        <f t="shared" si="2"/>
        <v>Week1</v>
      </c>
      <c r="F64" t="s">
        <v>1051</v>
      </c>
      <c r="G64" t="s">
        <v>1198</v>
      </c>
      <c r="H64">
        <v>25000</v>
      </c>
      <c r="I64" t="s">
        <v>1027</v>
      </c>
      <c r="J64" t="s">
        <v>1030</v>
      </c>
      <c r="K64" t="s">
        <v>1031</v>
      </c>
    </row>
    <row r="65" spans="1:11" x14ac:dyDescent="0.25">
      <c r="A65" t="s">
        <v>64</v>
      </c>
      <c r="B65" s="1">
        <v>45390</v>
      </c>
      <c r="C65">
        <f t="shared" si="0"/>
        <v>2024</v>
      </c>
      <c r="D65" t="str">
        <f t="shared" si="1"/>
        <v>April</v>
      </c>
      <c r="E65" t="str">
        <f t="shared" si="2"/>
        <v>Week2</v>
      </c>
      <c r="F65" t="s">
        <v>1019</v>
      </c>
      <c r="G65" t="s">
        <v>1197</v>
      </c>
      <c r="H65">
        <v>11000</v>
      </c>
      <c r="I65" t="s">
        <v>1027</v>
      </c>
      <c r="J65" t="s">
        <v>1030</v>
      </c>
      <c r="K65" t="s">
        <v>1031</v>
      </c>
    </row>
    <row r="66" spans="1:11" x14ac:dyDescent="0.25">
      <c r="A66" t="s">
        <v>65</v>
      </c>
      <c r="B66" s="1">
        <v>45394</v>
      </c>
      <c r="C66">
        <f t="shared" si="0"/>
        <v>2024</v>
      </c>
      <c r="D66" t="str">
        <f t="shared" si="1"/>
        <v>April</v>
      </c>
      <c r="E66" t="str">
        <f t="shared" si="2"/>
        <v>Week2</v>
      </c>
      <c r="F66" t="s">
        <v>1052</v>
      </c>
      <c r="G66" t="s">
        <v>1198</v>
      </c>
      <c r="H66">
        <v>6000</v>
      </c>
      <c r="I66" t="s">
        <v>1029</v>
      </c>
      <c r="J66" t="s">
        <v>1030</v>
      </c>
      <c r="K66" t="s">
        <v>1031</v>
      </c>
    </row>
    <row r="67" spans="1:11" x14ac:dyDescent="0.25">
      <c r="A67" t="s">
        <v>66</v>
      </c>
      <c r="B67" s="1">
        <v>45397</v>
      </c>
      <c r="C67">
        <f t="shared" si="0"/>
        <v>2024</v>
      </c>
      <c r="D67" t="str">
        <f t="shared" ref="D67:D321" si="3">TEXT(B67,"mmmm")</f>
        <v>April</v>
      </c>
      <c r="E67" t="str">
        <f t="shared" si="2"/>
        <v>Week3</v>
      </c>
      <c r="F67" t="s">
        <v>1019</v>
      </c>
      <c r="G67" t="s">
        <v>1197</v>
      </c>
      <c r="H67">
        <v>11000</v>
      </c>
      <c r="I67" t="s">
        <v>1027</v>
      </c>
      <c r="J67" t="s">
        <v>1030</v>
      </c>
      <c r="K67" t="s">
        <v>1031</v>
      </c>
    </row>
    <row r="68" spans="1:11" x14ac:dyDescent="0.25">
      <c r="A68" t="s">
        <v>67</v>
      </c>
      <c r="B68" s="1">
        <v>45397</v>
      </c>
      <c r="C68">
        <f t="shared" si="0"/>
        <v>2024</v>
      </c>
      <c r="D68" t="str">
        <f t="shared" si="3"/>
        <v>April</v>
      </c>
      <c r="E68" t="str">
        <f t="shared" si="2"/>
        <v>Week3</v>
      </c>
      <c r="F68" t="s">
        <v>1053</v>
      </c>
      <c r="G68" t="s">
        <v>1199</v>
      </c>
      <c r="H68">
        <v>20000</v>
      </c>
      <c r="I68" t="s">
        <v>1027</v>
      </c>
      <c r="J68" t="s">
        <v>1030</v>
      </c>
      <c r="K68" t="s">
        <v>1031</v>
      </c>
    </row>
    <row r="69" spans="1:11" x14ac:dyDescent="0.25">
      <c r="A69" t="s">
        <v>68</v>
      </c>
      <c r="B69" s="1">
        <v>45403</v>
      </c>
      <c r="C69">
        <f t="shared" si="0"/>
        <v>2024</v>
      </c>
      <c r="D69" t="str">
        <f t="shared" si="3"/>
        <v>April</v>
      </c>
      <c r="E69" t="str">
        <f t="shared" si="2"/>
        <v>Week3</v>
      </c>
      <c r="F69" t="s">
        <v>1018</v>
      </c>
      <c r="G69" t="s">
        <v>1013</v>
      </c>
      <c r="H69">
        <v>1000</v>
      </c>
      <c r="I69" t="s">
        <v>1027</v>
      </c>
      <c r="J69" t="s">
        <v>1030</v>
      </c>
      <c r="K69" t="s">
        <v>1031</v>
      </c>
    </row>
    <row r="70" spans="1:11" x14ac:dyDescent="0.25">
      <c r="A70" t="s">
        <v>69</v>
      </c>
      <c r="B70" s="1">
        <v>45404</v>
      </c>
      <c r="C70">
        <f t="shared" si="0"/>
        <v>2024</v>
      </c>
      <c r="D70" t="str">
        <f t="shared" si="3"/>
        <v>April</v>
      </c>
      <c r="E70" t="str">
        <f t="shared" si="2"/>
        <v>Week4</v>
      </c>
      <c r="F70" t="s">
        <v>1035</v>
      </c>
      <c r="G70" t="s">
        <v>1197</v>
      </c>
      <c r="H70">
        <v>11000</v>
      </c>
      <c r="I70" t="s">
        <v>1027</v>
      </c>
      <c r="J70" t="s">
        <v>1030</v>
      </c>
      <c r="K70" t="s">
        <v>1031</v>
      </c>
    </row>
    <row r="71" spans="1:11" x14ac:dyDescent="0.25">
      <c r="A71" t="s">
        <v>70</v>
      </c>
      <c r="B71" s="1">
        <v>45405</v>
      </c>
      <c r="C71">
        <f t="shared" si="0"/>
        <v>2024</v>
      </c>
      <c r="D71" t="str">
        <f t="shared" si="3"/>
        <v>April</v>
      </c>
      <c r="E71" t="str">
        <f t="shared" si="2"/>
        <v>Week4</v>
      </c>
      <c r="F71" t="s">
        <v>1054</v>
      </c>
      <c r="G71" t="s">
        <v>1010</v>
      </c>
      <c r="H71">
        <v>27483</v>
      </c>
      <c r="I71" t="s">
        <v>1028</v>
      </c>
      <c r="J71" t="s">
        <v>1030</v>
      </c>
      <c r="K71" t="s">
        <v>1031</v>
      </c>
    </row>
    <row r="72" spans="1:11" x14ac:dyDescent="0.25">
      <c r="A72" t="s">
        <v>71</v>
      </c>
      <c r="B72" s="1">
        <v>45406</v>
      </c>
      <c r="C72">
        <f t="shared" ref="C72:C135" si="4">YEAR(B72)</f>
        <v>2024</v>
      </c>
      <c r="D72" t="str">
        <f t="shared" si="3"/>
        <v>April</v>
      </c>
      <c r="E72" t="str">
        <f t="shared" si="2"/>
        <v>Week4</v>
      </c>
      <c r="F72" t="s">
        <v>1046</v>
      </c>
      <c r="G72" t="s">
        <v>1014</v>
      </c>
      <c r="H72">
        <v>3450</v>
      </c>
      <c r="I72" t="s">
        <v>1028</v>
      </c>
      <c r="J72" t="s">
        <v>1030</v>
      </c>
      <c r="K72" t="s">
        <v>1031</v>
      </c>
    </row>
    <row r="73" spans="1:11" x14ac:dyDescent="0.25">
      <c r="A73" t="s">
        <v>72</v>
      </c>
      <c r="B73" s="1">
        <v>45408</v>
      </c>
      <c r="C73">
        <f t="shared" si="4"/>
        <v>2024</v>
      </c>
      <c r="D73" t="str">
        <f t="shared" si="3"/>
        <v>April</v>
      </c>
      <c r="E73" t="str">
        <f t="shared" si="2"/>
        <v>Week4</v>
      </c>
      <c r="F73" t="s">
        <v>1055</v>
      </c>
      <c r="G73" t="s">
        <v>1203</v>
      </c>
      <c r="H73">
        <v>26600</v>
      </c>
      <c r="I73" t="s">
        <v>1027</v>
      </c>
      <c r="J73" t="s">
        <v>1030</v>
      </c>
      <c r="K73" t="s">
        <v>1031</v>
      </c>
    </row>
    <row r="74" spans="1:11" x14ac:dyDescent="0.25">
      <c r="A74" t="s">
        <v>73</v>
      </c>
      <c r="B74" s="1">
        <v>45411</v>
      </c>
      <c r="C74">
        <f t="shared" si="4"/>
        <v>2024</v>
      </c>
      <c r="D74" t="str">
        <f t="shared" si="3"/>
        <v>April</v>
      </c>
      <c r="E74" t="str">
        <f t="shared" si="2"/>
        <v>Week5</v>
      </c>
      <c r="F74" t="s">
        <v>1023</v>
      </c>
      <c r="G74" t="s">
        <v>1201</v>
      </c>
      <c r="H74">
        <v>7000</v>
      </c>
      <c r="I74" t="s">
        <v>1027</v>
      </c>
      <c r="J74" t="s">
        <v>1030</v>
      </c>
      <c r="K74" t="s">
        <v>1031</v>
      </c>
    </row>
    <row r="75" spans="1:11" x14ac:dyDescent="0.25">
      <c r="A75" t="s">
        <v>74</v>
      </c>
      <c r="B75" s="1">
        <v>45411</v>
      </c>
      <c r="C75">
        <f t="shared" si="4"/>
        <v>2024</v>
      </c>
      <c r="D75" t="str">
        <f t="shared" si="3"/>
        <v>April</v>
      </c>
      <c r="E75" t="str">
        <f t="shared" si="2"/>
        <v>Week5</v>
      </c>
      <c r="F75" t="s">
        <v>1025</v>
      </c>
      <c r="G75" t="s">
        <v>1014</v>
      </c>
      <c r="H75">
        <v>5000</v>
      </c>
      <c r="I75" t="s">
        <v>1027</v>
      </c>
      <c r="J75" t="s">
        <v>1030</v>
      </c>
      <c r="K75" t="s">
        <v>1031</v>
      </c>
    </row>
    <row r="76" spans="1:11" x14ac:dyDescent="0.25">
      <c r="A76" t="s">
        <v>75</v>
      </c>
      <c r="B76" s="1">
        <v>45411</v>
      </c>
      <c r="C76">
        <f t="shared" si="4"/>
        <v>2024</v>
      </c>
      <c r="D76" t="str">
        <f t="shared" si="3"/>
        <v>April</v>
      </c>
      <c r="E76" t="str">
        <f t="shared" si="2"/>
        <v>Week5</v>
      </c>
      <c r="F76" t="s">
        <v>1018</v>
      </c>
      <c r="G76" t="s">
        <v>1013</v>
      </c>
      <c r="H76">
        <v>5000</v>
      </c>
      <c r="I76" t="s">
        <v>1027</v>
      </c>
      <c r="J76" t="s">
        <v>1030</v>
      </c>
      <c r="K76" t="s">
        <v>1031</v>
      </c>
    </row>
    <row r="77" spans="1:11" x14ac:dyDescent="0.25">
      <c r="A77" t="s">
        <v>76</v>
      </c>
      <c r="B77" s="1">
        <v>45411</v>
      </c>
      <c r="C77">
        <f t="shared" si="4"/>
        <v>2024</v>
      </c>
      <c r="D77" t="str">
        <f t="shared" si="3"/>
        <v>April</v>
      </c>
      <c r="E77" t="str">
        <f t="shared" si="2"/>
        <v>Week5</v>
      </c>
      <c r="F77" t="s">
        <v>1019</v>
      </c>
      <c r="G77" t="s">
        <v>1197</v>
      </c>
      <c r="H77">
        <v>11000</v>
      </c>
      <c r="I77" t="s">
        <v>1027</v>
      </c>
      <c r="J77" t="s">
        <v>1030</v>
      </c>
      <c r="K77" t="s">
        <v>1031</v>
      </c>
    </row>
    <row r="78" spans="1:11" x14ac:dyDescent="0.25">
      <c r="A78" t="s">
        <v>77</v>
      </c>
      <c r="B78" s="1">
        <v>45411</v>
      </c>
      <c r="C78">
        <f t="shared" si="4"/>
        <v>2024</v>
      </c>
      <c r="D78" t="str">
        <f t="shared" si="3"/>
        <v>April</v>
      </c>
      <c r="E78" t="str">
        <f t="shared" si="2"/>
        <v>Week5</v>
      </c>
      <c r="F78" t="s">
        <v>1023</v>
      </c>
      <c r="G78" t="s">
        <v>1201</v>
      </c>
      <c r="H78">
        <v>7000</v>
      </c>
      <c r="I78" t="s">
        <v>1027</v>
      </c>
      <c r="J78" t="s">
        <v>1030</v>
      </c>
      <c r="K78" t="s">
        <v>1031</v>
      </c>
    </row>
    <row r="79" spans="1:11" x14ac:dyDescent="0.25">
      <c r="A79" t="s">
        <v>78</v>
      </c>
      <c r="B79" s="1">
        <v>45411</v>
      </c>
      <c r="C79">
        <f t="shared" si="4"/>
        <v>2024</v>
      </c>
      <c r="D79" t="str">
        <f t="shared" si="3"/>
        <v>April</v>
      </c>
      <c r="E79" t="str">
        <f t="shared" si="2"/>
        <v>Week5</v>
      </c>
      <c r="F79" t="s">
        <v>1025</v>
      </c>
      <c r="G79" t="s">
        <v>1014</v>
      </c>
      <c r="H79">
        <v>5000</v>
      </c>
      <c r="I79" t="s">
        <v>1027</v>
      </c>
      <c r="J79" t="s">
        <v>1030</v>
      </c>
      <c r="K79" t="s">
        <v>1031</v>
      </c>
    </row>
    <row r="80" spans="1:11" x14ac:dyDescent="0.25">
      <c r="A80" t="s">
        <v>79</v>
      </c>
      <c r="B80" s="1">
        <v>45411</v>
      </c>
      <c r="C80">
        <f t="shared" si="4"/>
        <v>2024</v>
      </c>
      <c r="D80" t="str">
        <f t="shared" si="3"/>
        <v>April</v>
      </c>
      <c r="E80" t="str">
        <f t="shared" si="2"/>
        <v>Week5</v>
      </c>
      <c r="F80" t="s">
        <v>1019</v>
      </c>
      <c r="G80" t="s">
        <v>1197</v>
      </c>
      <c r="H80">
        <v>11000</v>
      </c>
      <c r="I80" t="s">
        <v>1027</v>
      </c>
      <c r="J80" t="s">
        <v>1030</v>
      </c>
      <c r="K80" t="s">
        <v>1031</v>
      </c>
    </row>
    <row r="81" spans="1:11" x14ac:dyDescent="0.25">
      <c r="A81" t="s">
        <v>80</v>
      </c>
      <c r="B81" s="1">
        <v>45411</v>
      </c>
      <c r="C81">
        <f t="shared" si="4"/>
        <v>2024</v>
      </c>
      <c r="D81" t="str">
        <f t="shared" si="3"/>
        <v>April</v>
      </c>
      <c r="E81" t="str">
        <f t="shared" si="2"/>
        <v>Week5</v>
      </c>
      <c r="F81" t="s">
        <v>1018</v>
      </c>
      <c r="G81" t="s">
        <v>1013</v>
      </c>
      <c r="H81">
        <v>5000</v>
      </c>
      <c r="I81" t="s">
        <v>1027</v>
      </c>
      <c r="J81" t="s">
        <v>1030</v>
      </c>
      <c r="K81" t="s">
        <v>1031</v>
      </c>
    </row>
    <row r="82" spans="1:11" x14ac:dyDescent="0.25">
      <c r="A82" t="s">
        <v>81</v>
      </c>
      <c r="B82" s="1">
        <v>45414</v>
      </c>
      <c r="C82">
        <f t="shared" si="4"/>
        <v>2024</v>
      </c>
      <c r="D82" t="str">
        <f t="shared" si="3"/>
        <v>May</v>
      </c>
      <c r="E82" t="str">
        <f t="shared" si="2"/>
        <v>Week1</v>
      </c>
      <c r="F82" t="s">
        <v>1049</v>
      </c>
      <c r="G82" t="s">
        <v>1199</v>
      </c>
      <c r="H82">
        <v>18000</v>
      </c>
      <c r="I82" t="s">
        <v>1027</v>
      </c>
      <c r="J82" t="s">
        <v>1030</v>
      </c>
      <c r="K82" t="s">
        <v>1031</v>
      </c>
    </row>
    <row r="83" spans="1:11" x14ac:dyDescent="0.25">
      <c r="A83" t="s">
        <v>82</v>
      </c>
      <c r="B83" s="1">
        <v>45414</v>
      </c>
      <c r="C83">
        <f t="shared" si="4"/>
        <v>2024</v>
      </c>
      <c r="D83" t="str">
        <f t="shared" si="3"/>
        <v>May</v>
      </c>
      <c r="E83" t="str">
        <f t="shared" si="2"/>
        <v>Week1</v>
      </c>
      <c r="F83" t="s">
        <v>1033</v>
      </c>
      <c r="G83" t="s">
        <v>1014</v>
      </c>
      <c r="H83">
        <v>76030</v>
      </c>
      <c r="I83" t="s">
        <v>1027</v>
      </c>
      <c r="J83" t="s">
        <v>1030</v>
      </c>
      <c r="K83" t="s">
        <v>1031</v>
      </c>
    </row>
    <row r="84" spans="1:11" x14ac:dyDescent="0.25">
      <c r="A84" t="s">
        <v>83</v>
      </c>
      <c r="B84" s="1">
        <v>45418</v>
      </c>
      <c r="C84">
        <f t="shared" si="4"/>
        <v>2024</v>
      </c>
      <c r="D84" t="str">
        <f t="shared" si="3"/>
        <v>May</v>
      </c>
      <c r="E84" t="str">
        <f t="shared" si="2"/>
        <v>Week1</v>
      </c>
      <c r="F84" t="s">
        <v>1035</v>
      </c>
      <c r="G84" t="s">
        <v>1197</v>
      </c>
      <c r="H84">
        <v>11000</v>
      </c>
      <c r="I84" t="s">
        <v>1027</v>
      </c>
      <c r="J84" t="s">
        <v>1030</v>
      </c>
      <c r="K84" t="s">
        <v>1031</v>
      </c>
    </row>
    <row r="85" spans="1:11" x14ac:dyDescent="0.25">
      <c r="A85" t="s">
        <v>84</v>
      </c>
      <c r="B85" s="1">
        <v>45418</v>
      </c>
      <c r="C85">
        <f t="shared" si="4"/>
        <v>2024</v>
      </c>
      <c r="D85" t="str">
        <f t="shared" si="3"/>
        <v>May</v>
      </c>
      <c r="E85" t="str">
        <f t="shared" si="2"/>
        <v>Week1</v>
      </c>
      <c r="F85" t="s">
        <v>1056</v>
      </c>
      <c r="G85" t="s">
        <v>1198</v>
      </c>
      <c r="H85">
        <v>8000</v>
      </c>
      <c r="I85" t="s">
        <v>1029</v>
      </c>
      <c r="J85" t="s">
        <v>1030</v>
      </c>
      <c r="K85" t="s">
        <v>1031</v>
      </c>
    </row>
    <row r="86" spans="1:11" x14ac:dyDescent="0.25">
      <c r="A86" t="s">
        <v>85</v>
      </c>
      <c r="B86" s="1">
        <v>45419</v>
      </c>
      <c r="C86">
        <f t="shared" si="4"/>
        <v>2024</v>
      </c>
      <c r="D86" t="str">
        <f t="shared" si="3"/>
        <v>May</v>
      </c>
      <c r="E86" t="str">
        <f t="shared" si="2"/>
        <v>Week1</v>
      </c>
      <c r="F86" t="s">
        <v>1018</v>
      </c>
      <c r="G86" t="s">
        <v>1013</v>
      </c>
      <c r="H86">
        <v>2000</v>
      </c>
      <c r="I86" t="s">
        <v>1027</v>
      </c>
      <c r="J86" t="s">
        <v>1030</v>
      </c>
      <c r="K86" t="s">
        <v>1031</v>
      </c>
    </row>
    <row r="87" spans="1:11" x14ac:dyDescent="0.25">
      <c r="A87" t="s">
        <v>86</v>
      </c>
      <c r="B87" s="1">
        <v>45419</v>
      </c>
      <c r="C87">
        <f t="shared" si="4"/>
        <v>2024</v>
      </c>
      <c r="D87" t="str">
        <f t="shared" si="3"/>
        <v>May</v>
      </c>
      <c r="E87" t="str">
        <f t="shared" si="2"/>
        <v>Week1</v>
      </c>
      <c r="F87" t="s">
        <v>1057</v>
      </c>
      <c r="G87" t="s">
        <v>1010</v>
      </c>
      <c r="H87">
        <v>90000</v>
      </c>
      <c r="I87" t="s">
        <v>1027</v>
      </c>
      <c r="J87" t="s">
        <v>1030</v>
      </c>
      <c r="K87" t="s">
        <v>1031</v>
      </c>
    </row>
    <row r="88" spans="1:11" x14ac:dyDescent="0.25">
      <c r="A88" t="s">
        <v>87</v>
      </c>
      <c r="B88" s="1">
        <v>45419</v>
      </c>
      <c r="C88">
        <f t="shared" si="4"/>
        <v>2024</v>
      </c>
      <c r="D88" t="str">
        <f t="shared" si="3"/>
        <v>May</v>
      </c>
      <c r="E88" t="str">
        <f t="shared" si="2"/>
        <v>Week1</v>
      </c>
      <c r="F88" t="s">
        <v>1058</v>
      </c>
      <c r="G88" t="s">
        <v>1199</v>
      </c>
      <c r="H88">
        <v>20000</v>
      </c>
      <c r="I88" t="s">
        <v>1027</v>
      </c>
      <c r="J88" t="s">
        <v>1030</v>
      </c>
      <c r="K88" t="s">
        <v>1031</v>
      </c>
    </row>
    <row r="89" spans="1:11" x14ac:dyDescent="0.25">
      <c r="A89" t="s">
        <v>88</v>
      </c>
      <c r="B89" s="1">
        <v>45425</v>
      </c>
      <c r="C89">
        <f t="shared" si="4"/>
        <v>2024</v>
      </c>
      <c r="D89" t="str">
        <f t="shared" si="3"/>
        <v>May</v>
      </c>
      <c r="E89" t="str">
        <f t="shared" si="2"/>
        <v>Week2</v>
      </c>
      <c r="F89" t="s">
        <v>1059</v>
      </c>
      <c r="G89" t="s">
        <v>1198</v>
      </c>
      <c r="H89">
        <v>8000</v>
      </c>
      <c r="I89" t="s">
        <v>1029</v>
      </c>
      <c r="J89" t="s">
        <v>1030</v>
      </c>
      <c r="K89" t="s">
        <v>1031</v>
      </c>
    </row>
    <row r="90" spans="1:11" x14ac:dyDescent="0.25">
      <c r="A90" t="s">
        <v>89</v>
      </c>
      <c r="B90" s="1">
        <v>45425</v>
      </c>
      <c r="C90">
        <f t="shared" si="4"/>
        <v>2024</v>
      </c>
      <c r="D90" t="str">
        <f t="shared" si="3"/>
        <v>May</v>
      </c>
      <c r="E90" t="str">
        <f t="shared" si="2"/>
        <v>Week2</v>
      </c>
      <c r="F90" t="s">
        <v>1060</v>
      </c>
      <c r="G90" t="s">
        <v>1015</v>
      </c>
      <c r="H90">
        <v>2500</v>
      </c>
      <c r="I90" t="s">
        <v>1029</v>
      </c>
      <c r="J90" t="s">
        <v>1030</v>
      </c>
      <c r="K90" t="s">
        <v>1031</v>
      </c>
    </row>
    <row r="91" spans="1:11" x14ac:dyDescent="0.25">
      <c r="A91" t="s">
        <v>90</v>
      </c>
      <c r="B91" s="1">
        <v>45425</v>
      </c>
      <c r="C91">
        <f t="shared" si="4"/>
        <v>2024</v>
      </c>
      <c r="D91" t="str">
        <f t="shared" si="3"/>
        <v>May</v>
      </c>
      <c r="E91" t="str">
        <f t="shared" si="2"/>
        <v>Week2</v>
      </c>
      <c r="F91" t="s">
        <v>1035</v>
      </c>
      <c r="G91" t="s">
        <v>1197</v>
      </c>
      <c r="H91">
        <v>11000</v>
      </c>
      <c r="I91" t="s">
        <v>1027</v>
      </c>
      <c r="J91" t="s">
        <v>1030</v>
      </c>
      <c r="K91" t="s">
        <v>1031</v>
      </c>
    </row>
    <row r="92" spans="1:11" x14ac:dyDescent="0.25">
      <c r="A92" t="s">
        <v>91</v>
      </c>
      <c r="B92" s="1">
        <v>45426</v>
      </c>
      <c r="C92">
        <f t="shared" si="4"/>
        <v>2024</v>
      </c>
      <c r="D92" t="str">
        <f t="shared" si="3"/>
        <v>May</v>
      </c>
      <c r="E92" t="str">
        <f t="shared" si="2"/>
        <v>Week2</v>
      </c>
      <c r="F92" t="s">
        <v>1061</v>
      </c>
      <c r="G92" t="s">
        <v>1010</v>
      </c>
      <c r="H92">
        <v>7000</v>
      </c>
      <c r="I92" t="s">
        <v>1027</v>
      </c>
      <c r="J92" t="s">
        <v>1030</v>
      </c>
      <c r="K92" t="s">
        <v>1031</v>
      </c>
    </row>
    <row r="93" spans="1:11" x14ac:dyDescent="0.25">
      <c r="A93" t="s">
        <v>92</v>
      </c>
      <c r="B93" s="1">
        <v>45426</v>
      </c>
      <c r="C93">
        <f t="shared" si="4"/>
        <v>2024</v>
      </c>
      <c r="D93" t="str">
        <f t="shared" si="3"/>
        <v>May</v>
      </c>
      <c r="E93" t="str">
        <f t="shared" si="2"/>
        <v>Week2</v>
      </c>
      <c r="F93" t="s">
        <v>1040</v>
      </c>
      <c r="G93" t="s">
        <v>1199</v>
      </c>
      <c r="H93">
        <v>20000</v>
      </c>
      <c r="I93" t="s">
        <v>1027</v>
      </c>
      <c r="J93" t="s">
        <v>1030</v>
      </c>
      <c r="K93" t="s">
        <v>1031</v>
      </c>
    </row>
    <row r="94" spans="1:11" x14ac:dyDescent="0.25">
      <c r="A94" t="s">
        <v>93</v>
      </c>
      <c r="B94" s="1">
        <v>45427</v>
      </c>
      <c r="C94">
        <f t="shared" si="4"/>
        <v>2024</v>
      </c>
      <c r="D94" t="str">
        <f t="shared" si="3"/>
        <v>May</v>
      </c>
      <c r="E94" t="str">
        <f t="shared" si="2"/>
        <v>Week3</v>
      </c>
      <c r="F94" t="s">
        <v>1062</v>
      </c>
      <c r="G94" t="s">
        <v>1200</v>
      </c>
      <c r="H94">
        <v>5600</v>
      </c>
      <c r="I94" t="s">
        <v>1027</v>
      </c>
      <c r="J94" t="s">
        <v>1030</v>
      </c>
      <c r="K94" t="s">
        <v>1031</v>
      </c>
    </row>
    <row r="95" spans="1:11" x14ac:dyDescent="0.25">
      <c r="A95" t="s">
        <v>94</v>
      </c>
      <c r="B95" s="1">
        <v>45427</v>
      </c>
      <c r="C95">
        <f t="shared" si="4"/>
        <v>2024</v>
      </c>
      <c r="D95" t="str">
        <f t="shared" si="3"/>
        <v>May</v>
      </c>
      <c r="E95" t="str">
        <f t="shared" si="2"/>
        <v>Week3</v>
      </c>
      <c r="F95" t="s">
        <v>1021</v>
      </c>
      <c r="G95" t="s">
        <v>1010</v>
      </c>
      <c r="H95">
        <v>3000</v>
      </c>
      <c r="I95" t="s">
        <v>1029</v>
      </c>
      <c r="J95" t="s">
        <v>1030</v>
      </c>
      <c r="K95" t="s">
        <v>1031</v>
      </c>
    </row>
    <row r="96" spans="1:11" x14ac:dyDescent="0.25">
      <c r="A96" t="s">
        <v>95</v>
      </c>
      <c r="B96" s="1">
        <v>45429</v>
      </c>
      <c r="C96">
        <f t="shared" si="4"/>
        <v>2024</v>
      </c>
      <c r="D96" t="str">
        <f t="shared" si="3"/>
        <v>May</v>
      </c>
      <c r="E96" t="str">
        <f t="shared" si="2"/>
        <v>Week3</v>
      </c>
      <c r="F96" t="s">
        <v>1046</v>
      </c>
      <c r="G96" t="s">
        <v>1014</v>
      </c>
      <c r="H96">
        <v>4200</v>
      </c>
      <c r="I96" t="s">
        <v>1028</v>
      </c>
      <c r="J96" t="s">
        <v>1030</v>
      </c>
      <c r="K96" t="s">
        <v>1031</v>
      </c>
    </row>
    <row r="97" spans="1:11" x14ac:dyDescent="0.25">
      <c r="A97" t="s">
        <v>96</v>
      </c>
      <c r="B97" s="1">
        <v>45442</v>
      </c>
      <c r="C97">
        <f t="shared" si="4"/>
        <v>2024</v>
      </c>
      <c r="D97" t="str">
        <f t="shared" si="3"/>
        <v>May</v>
      </c>
      <c r="E97" t="str">
        <f t="shared" si="2"/>
        <v>Week5</v>
      </c>
      <c r="F97" t="s">
        <v>1018</v>
      </c>
      <c r="G97" t="s">
        <v>1013</v>
      </c>
      <c r="H97">
        <v>5000</v>
      </c>
      <c r="I97" t="s">
        <v>1027</v>
      </c>
      <c r="J97" t="s">
        <v>1030</v>
      </c>
      <c r="K97" t="s">
        <v>1031</v>
      </c>
    </row>
    <row r="98" spans="1:11" x14ac:dyDescent="0.25">
      <c r="A98" t="s">
        <v>97</v>
      </c>
      <c r="B98" s="1">
        <v>45453</v>
      </c>
      <c r="C98">
        <f t="shared" si="4"/>
        <v>2024</v>
      </c>
      <c r="D98" t="str">
        <f t="shared" si="3"/>
        <v>June</v>
      </c>
      <c r="E98" t="str">
        <f t="shared" si="2"/>
        <v>Week2</v>
      </c>
      <c r="F98" t="s">
        <v>1035</v>
      </c>
      <c r="G98" t="s">
        <v>1197</v>
      </c>
      <c r="H98">
        <v>11000</v>
      </c>
      <c r="I98" t="s">
        <v>1027</v>
      </c>
      <c r="J98" t="s">
        <v>1030</v>
      </c>
      <c r="K98" t="s">
        <v>1031</v>
      </c>
    </row>
    <row r="99" spans="1:11" x14ac:dyDescent="0.25">
      <c r="A99" t="s">
        <v>98</v>
      </c>
      <c r="B99" s="1">
        <v>45453</v>
      </c>
      <c r="C99">
        <f t="shared" si="4"/>
        <v>2024</v>
      </c>
      <c r="D99" t="str">
        <f t="shared" si="3"/>
        <v>June</v>
      </c>
      <c r="E99" t="str">
        <f t="shared" si="2"/>
        <v>Week2</v>
      </c>
      <c r="F99" t="s">
        <v>1049</v>
      </c>
      <c r="G99" t="s">
        <v>1199</v>
      </c>
      <c r="H99">
        <v>20000</v>
      </c>
      <c r="I99" t="s">
        <v>1027</v>
      </c>
      <c r="J99" t="s">
        <v>1030</v>
      </c>
      <c r="K99" t="s">
        <v>1031</v>
      </c>
    </row>
    <row r="100" spans="1:11" x14ac:dyDescent="0.25">
      <c r="A100" t="s">
        <v>99</v>
      </c>
      <c r="B100" s="1">
        <v>45454</v>
      </c>
      <c r="C100">
        <f t="shared" si="4"/>
        <v>2024</v>
      </c>
      <c r="D100" t="str">
        <f t="shared" si="3"/>
        <v>June</v>
      </c>
      <c r="E100" t="str">
        <f t="shared" si="2"/>
        <v>Week2</v>
      </c>
      <c r="F100" t="s">
        <v>1064</v>
      </c>
      <c r="G100" t="s">
        <v>1015</v>
      </c>
      <c r="H100">
        <v>4000</v>
      </c>
      <c r="I100" t="s">
        <v>1029</v>
      </c>
      <c r="J100" t="s">
        <v>1030</v>
      </c>
      <c r="K100" t="s">
        <v>1031</v>
      </c>
    </row>
    <row r="101" spans="1:11" x14ac:dyDescent="0.25">
      <c r="A101" t="s">
        <v>100</v>
      </c>
      <c r="B101" s="1">
        <v>45450</v>
      </c>
      <c r="C101">
        <f t="shared" si="4"/>
        <v>2024</v>
      </c>
      <c r="D101" t="str">
        <f t="shared" si="3"/>
        <v>June</v>
      </c>
      <c r="E101" t="str">
        <f t="shared" si="2"/>
        <v>Week1</v>
      </c>
      <c r="F101" t="s">
        <v>1065</v>
      </c>
      <c r="G101" t="s">
        <v>1011</v>
      </c>
      <c r="H101">
        <v>22000</v>
      </c>
      <c r="I101" t="s">
        <v>1028</v>
      </c>
      <c r="J101" t="s">
        <v>1030</v>
      </c>
      <c r="K101" t="s">
        <v>1031</v>
      </c>
    </row>
    <row r="102" spans="1:11" x14ac:dyDescent="0.25">
      <c r="A102" t="s">
        <v>101</v>
      </c>
      <c r="B102" s="1">
        <v>45463</v>
      </c>
      <c r="C102">
        <f t="shared" si="4"/>
        <v>2024</v>
      </c>
      <c r="D102" t="str">
        <f t="shared" si="3"/>
        <v>June</v>
      </c>
      <c r="E102" t="str">
        <f t="shared" si="2"/>
        <v>Week3</v>
      </c>
      <c r="F102" t="s">
        <v>1066</v>
      </c>
      <c r="G102" t="s">
        <v>1012</v>
      </c>
      <c r="H102">
        <v>30000</v>
      </c>
      <c r="I102" t="s">
        <v>1028</v>
      </c>
      <c r="J102" t="s">
        <v>1030</v>
      </c>
      <c r="K102" t="s">
        <v>1031</v>
      </c>
    </row>
    <row r="103" spans="1:11" x14ac:dyDescent="0.25">
      <c r="A103" t="s">
        <v>102</v>
      </c>
      <c r="B103" s="1">
        <v>45432</v>
      </c>
      <c r="C103">
        <f t="shared" si="4"/>
        <v>2024</v>
      </c>
      <c r="D103" t="str">
        <f t="shared" si="3"/>
        <v>May</v>
      </c>
      <c r="E103" t="str">
        <f t="shared" si="2"/>
        <v>Week3</v>
      </c>
      <c r="F103" t="s">
        <v>1018</v>
      </c>
      <c r="G103" t="s">
        <v>1013</v>
      </c>
      <c r="H103">
        <v>4000</v>
      </c>
      <c r="I103" t="s">
        <v>1027</v>
      </c>
      <c r="J103" t="s">
        <v>1030</v>
      </c>
      <c r="K103" t="s">
        <v>1031</v>
      </c>
    </row>
    <row r="104" spans="1:11" x14ac:dyDescent="0.25">
      <c r="A104" t="s">
        <v>103</v>
      </c>
      <c r="B104" s="1">
        <v>45432</v>
      </c>
      <c r="C104">
        <f t="shared" si="4"/>
        <v>2024</v>
      </c>
      <c r="D104" t="str">
        <f t="shared" si="3"/>
        <v>May</v>
      </c>
      <c r="E104" t="str">
        <f t="shared" si="2"/>
        <v>Week3</v>
      </c>
      <c r="F104" t="s">
        <v>1019</v>
      </c>
      <c r="G104" t="s">
        <v>1197</v>
      </c>
      <c r="H104">
        <v>11000</v>
      </c>
      <c r="I104" t="s">
        <v>1027</v>
      </c>
      <c r="J104" t="s">
        <v>1030</v>
      </c>
      <c r="K104" t="s">
        <v>1031</v>
      </c>
    </row>
    <row r="105" spans="1:11" x14ac:dyDescent="0.25">
      <c r="A105" t="s">
        <v>104</v>
      </c>
      <c r="B105" s="1">
        <v>45436</v>
      </c>
      <c r="C105">
        <f t="shared" si="4"/>
        <v>2024</v>
      </c>
      <c r="D105" t="str">
        <f t="shared" si="3"/>
        <v>May</v>
      </c>
      <c r="E105" t="str">
        <f t="shared" si="2"/>
        <v>Week4</v>
      </c>
      <c r="F105" t="s">
        <v>1021</v>
      </c>
      <c r="G105" t="s">
        <v>1010</v>
      </c>
      <c r="H105">
        <v>3000</v>
      </c>
      <c r="I105" t="s">
        <v>1029</v>
      </c>
      <c r="J105" t="s">
        <v>1030</v>
      </c>
      <c r="K105" t="s">
        <v>1031</v>
      </c>
    </row>
    <row r="106" spans="1:11" x14ac:dyDescent="0.25">
      <c r="A106" t="s">
        <v>105</v>
      </c>
      <c r="B106" s="1">
        <v>45439</v>
      </c>
      <c r="C106">
        <f t="shared" si="4"/>
        <v>2024</v>
      </c>
      <c r="D106" t="str">
        <f t="shared" si="3"/>
        <v>May</v>
      </c>
      <c r="E106" t="str">
        <f t="shared" si="2"/>
        <v>Week4</v>
      </c>
      <c r="F106" t="s">
        <v>1065</v>
      </c>
      <c r="G106" t="s">
        <v>1011</v>
      </c>
      <c r="H106">
        <v>22000</v>
      </c>
      <c r="I106" t="s">
        <v>1027</v>
      </c>
      <c r="J106" t="s">
        <v>1030</v>
      </c>
      <c r="K106" t="s">
        <v>1031</v>
      </c>
    </row>
    <row r="107" spans="1:11" x14ac:dyDescent="0.25">
      <c r="A107" t="s">
        <v>106</v>
      </c>
      <c r="B107" s="1">
        <v>45439</v>
      </c>
      <c r="C107">
        <f t="shared" si="4"/>
        <v>2024</v>
      </c>
      <c r="D107" t="str">
        <f t="shared" si="3"/>
        <v>May</v>
      </c>
      <c r="E107" t="str">
        <f t="shared" si="2"/>
        <v>Week4</v>
      </c>
      <c r="F107" t="s">
        <v>1035</v>
      </c>
      <c r="G107" t="s">
        <v>1197</v>
      </c>
      <c r="H107">
        <v>11000</v>
      </c>
      <c r="I107" t="s">
        <v>1027</v>
      </c>
      <c r="J107" t="s">
        <v>1030</v>
      </c>
      <c r="K107" t="s">
        <v>1031</v>
      </c>
    </row>
    <row r="108" spans="1:11" x14ac:dyDescent="0.25">
      <c r="A108" t="s">
        <v>107</v>
      </c>
      <c r="B108" s="1">
        <v>45440</v>
      </c>
      <c r="C108">
        <f t="shared" si="4"/>
        <v>2024</v>
      </c>
      <c r="D108" t="str">
        <f t="shared" si="3"/>
        <v>May</v>
      </c>
      <c r="E108" t="str">
        <f t="shared" si="2"/>
        <v>Week4</v>
      </c>
      <c r="F108" t="s">
        <v>1067</v>
      </c>
      <c r="G108" t="s">
        <v>1011</v>
      </c>
      <c r="H108">
        <v>30000</v>
      </c>
      <c r="I108" t="s">
        <v>1027</v>
      </c>
      <c r="J108" t="s">
        <v>1030</v>
      </c>
      <c r="K108" t="s">
        <v>1031</v>
      </c>
    </row>
    <row r="109" spans="1:11" x14ac:dyDescent="0.25">
      <c r="A109" t="s">
        <v>108</v>
      </c>
      <c r="B109" s="1">
        <v>45440</v>
      </c>
      <c r="C109">
        <f t="shared" si="4"/>
        <v>2024</v>
      </c>
      <c r="D109" t="str">
        <f t="shared" si="3"/>
        <v>May</v>
      </c>
      <c r="E109" t="str">
        <f t="shared" si="2"/>
        <v>Week4</v>
      </c>
      <c r="F109" t="s">
        <v>1018</v>
      </c>
      <c r="G109" t="s">
        <v>1013</v>
      </c>
      <c r="H109">
        <v>2000</v>
      </c>
      <c r="I109" t="s">
        <v>1027</v>
      </c>
      <c r="J109" t="s">
        <v>1030</v>
      </c>
      <c r="K109" t="s">
        <v>1031</v>
      </c>
    </row>
    <row r="110" spans="1:11" x14ac:dyDescent="0.25">
      <c r="A110" t="s">
        <v>109</v>
      </c>
      <c r="B110" s="1">
        <v>45441</v>
      </c>
      <c r="C110">
        <f t="shared" si="4"/>
        <v>2024</v>
      </c>
      <c r="D110" t="str">
        <f t="shared" si="3"/>
        <v>May</v>
      </c>
      <c r="E110" t="str">
        <f t="shared" si="2"/>
        <v>Week5</v>
      </c>
      <c r="F110" t="s">
        <v>1068</v>
      </c>
      <c r="G110" t="s">
        <v>1011</v>
      </c>
      <c r="H110">
        <v>23000</v>
      </c>
      <c r="I110" t="s">
        <v>1027</v>
      </c>
      <c r="J110" t="s">
        <v>1030</v>
      </c>
      <c r="K110" t="s">
        <v>1031</v>
      </c>
    </row>
    <row r="111" spans="1:11" x14ac:dyDescent="0.25">
      <c r="A111" t="s">
        <v>110</v>
      </c>
      <c r="B111" s="1">
        <v>45441</v>
      </c>
      <c r="C111">
        <f t="shared" si="4"/>
        <v>2024</v>
      </c>
      <c r="D111" t="str">
        <f t="shared" si="3"/>
        <v>May</v>
      </c>
      <c r="E111" t="str">
        <f t="shared" si="2"/>
        <v>Week5</v>
      </c>
      <c r="F111" t="s">
        <v>1065</v>
      </c>
      <c r="G111" t="s">
        <v>1011</v>
      </c>
      <c r="H111">
        <v>23000</v>
      </c>
      <c r="I111" t="s">
        <v>1027</v>
      </c>
      <c r="J111" t="s">
        <v>1030</v>
      </c>
      <c r="K111" t="s">
        <v>1031</v>
      </c>
    </row>
    <row r="112" spans="1:11" x14ac:dyDescent="0.25">
      <c r="A112" t="s">
        <v>111</v>
      </c>
      <c r="B112" s="1">
        <v>45443</v>
      </c>
      <c r="C112">
        <f t="shared" si="4"/>
        <v>2024</v>
      </c>
      <c r="D112" t="str">
        <f t="shared" si="3"/>
        <v>May</v>
      </c>
      <c r="E112" t="str">
        <f t="shared" si="2"/>
        <v>Week5</v>
      </c>
      <c r="F112" t="s">
        <v>1025</v>
      </c>
      <c r="G112" t="s">
        <v>1014</v>
      </c>
      <c r="H112">
        <v>5000</v>
      </c>
      <c r="I112" t="s">
        <v>1027</v>
      </c>
      <c r="J112" t="s">
        <v>1030</v>
      </c>
      <c r="K112" t="s">
        <v>1031</v>
      </c>
    </row>
    <row r="113" spans="1:11" x14ac:dyDescent="0.25">
      <c r="A113" t="s">
        <v>112</v>
      </c>
      <c r="B113" s="1">
        <v>45443</v>
      </c>
      <c r="C113">
        <f t="shared" si="4"/>
        <v>2024</v>
      </c>
      <c r="D113" t="str">
        <f t="shared" si="3"/>
        <v>May</v>
      </c>
      <c r="E113" t="str">
        <f t="shared" si="2"/>
        <v>Week5</v>
      </c>
      <c r="F113" t="s">
        <v>1023</v>
      </c>
      <c r="G113" t="s">
        <v>1201</v>
      </c>
      <c r="H113">
        <v>7000</v>
      </c>
      <c r="I113" t="s">
        <v>1029</v>
      </c>
      <c r="J113" t="s">
        <v>1030</v>
      </c>
      <c r="K113" t="s">
        <v>1031</v>
      </c>
    </row>
    <row r="114" spans="1:11" x14ac:dyDescent="0.25">
      <c r="A114" t="s">
        <v>113</v>
      </c>
      <c r="B114" s="1">
        <v>45432</v>
      </c>
      <c r="C114">
        <f t="shared" si="4"/>
        <v>2024</v>
      </c>
      <c r="D114" t="str">
        <f t="shared" si="3"/>
        <v>May</v>
      </c>
      <c r="E114" t="str">
        <f t="shared" si="2"/>
        <v>Week3</v>
      </c>
      <c r="F114" t="s">
        <v>1018</v>
      </c>
      <c r="G114" t="s">
        <v>1013</v>
      </c>
      <c r="H114">
        <v>4000</v>
      </c>
      <c r="I114" t="s">
        <v>1027</v>
      </c>
      <c r="J114" t="s">
        <v>1030</v>
      </c>
      <c r="K114" t="s">
        <v>1031</v>
      </c>
    </row>
    <row r="115" spans="1:11" x14ac:dyDescent="0.25">
      <c r="A115" t="s">
        <v>114</v>
      </c>
      <c r="B115" s="1">
        <v>45432</v>
      </c>
      <c r="C115">
        <f t="shared" si="4"/>
        <v>2024</v>
      </c>
      <c r="D115" t="str">
        <f t="shared" si="3"/>
        <v>May</v>
      </c>
      <c r="E115" t="str">
        <f t="shared" si="2"/>
        <v>Week3</v>
      </c>
      <c r="F115" t="s">
        <v>1019</v>
      </c>
      <c r="G115" t="s">
        <v>1197</v>
      </c>
      <c r="H115">
        <v>11000</v>
      </c>
      <c r="I115" t="s">
        <v>1027</v>
      </c>
      <c r="J115" t="s">
        <v>1030</v>
      </c>
      <c r="K115" t="s">
        <v>1031</v>
      </c>
    </row>
    <row r="116" spans="1:11" x14ac:dyDescent="0.25">
      <c r="A116" t="s">
        <v>115</v>
      </c>
      <c r="B116" s="1">
        <v>45436</v>
      </c>
      <c r="C116">
        <f t="shared" si="4"/>
        <v>2024</v>
      </c>
      <c r="D116" t="str">
        <f t="shared" si="3"/>
        <v>May</v>
      </c>
      <c r="E116" t="str">
        <f t="shared" si="2"/>
        <v>Week4</v>
      </c>
      <c r="F116" t="s">
        <v>1021</v>
      </c>
      <c r="G116" t="s">
        <v>1010</v>
      </c>
      <c r="H116">
        <v>3000</v>
      </c>
      <c r="I116" t="s">
        <v>1029</v>
      </c>
      <c r="J116" t="s">
        <v>1030</v>
      </c>
      <c r="K116" t="s">
        <v>1031</v>
      </c>
    </row>
    <row r="117" spans="1:11" x14ac:dyDescent="0.25">
      <c r="A117" t="s">
        <v>116</v>
      </c>
      <c r="B117" s="1">
        <v>45439</v>
      </c>
      <c r="C117">
        <f t="shared" si="4"/>
        <v>2024</v>
      </c>
      <c r="D117" t="str">
        <f t="shared" si="3"/>
        <v>May</v>
      </c>
      <c r="E117" t="str">
        <f t="shared" si="2"/>
        <v>Week4</v>
      </c>
      <c r="F117" t="s">
        <v>1065</v>
      </c>
      <c r="G117" t="s">
        <v>1011</v>
      </c>
      <c r="H117">
        <v>22000</v>
      </c>
      <c r="I117" t="s">
        <v>1028</v>
      </c>
      <c r="J117" t="s">
        <v>1030</v>
      </c>
      <c r="K117" t="s">
        <v>1031</v>
      </c>
    </row>
    <row r="118" spans="1:11" x14ac:dyDescent="0.25">
      <c r="A118" t="s">
        <v>117</v>
      </c>
      <c r="B118" s="1">
        <v>45439</v>
      </c>
      <c r="C118">
        <f t="shared" si="4"/>
        <v>2024</v>
      </c>
      <c r="D118" t="str">
        <f t="shared" si="3"/>
        <v>May</v>
      </c>
      <c r="E118" t="str">
        <f t="shared" si="2"/>
        <v>Week4</v>
      </c>
      <c r="F118" t="s">
        <v>1019</v>
      </c>
      <c r="G118" t="s">
        <v>1197</v>
      </c>
      <c r="H118">
        <v>11000</v>
      </c>
      <c r="I118" t="s">
        <v>1027</v>
      </c>
      <c r="J118" t="s">
        <v>1030</v>
      </c>
      <c r="K118" t="s">
        <v>1031</v>
      </c>
    </row>
    <row r="119" spans="1:11" x14ac:dyDescent="0.25">
      <c r="A119" t="s">
        <v>118</v>
      </c>
      <c r="B119" s="1">
        <v>45440</v>
      </c>
      <c r="C119">
        <f t="shared" si="4"/>
        <v>2024</v>
      </c>
      <c r="D119" t="str">
        <f t="shared" si="3"/>
        <v>May</v>
      </c>
      <c r="E119" t="str">
        <f t="shared" si="2"/>
        <v>Week4</v>
      </c>
      <c r="F119" t="s">
        <v>1069</v>
      </c>
      <c r="G119" t="s">
        <v>1011</v>
      </c>
      <c r="H119">
        <v>30000</v>
      </c>
      <c r="I119" t="s">
        <v>1027</v>
      </c>
      <c r="J119" t="s">
        <v>1030</v>
      </c>
      <c r="K119" t="s">
        <v>1031</v>
      </c>
    </row>
    <row r="120" spans="1:11" x14ac:dyDescent="0.25">
      <c r="A120" t="s">
        <v>119</v>
      </c>
      <c r="B120" s="1">
        <v>45440</v>
      </c>
      <c r="C120">
        <f t="shared" si="4"/>
        <v>2024</v>
      </c>
      <c r="D120" t="str">
        <f t="shared" si="3"/>
        <v>May</v>
      </c>
      <c r="E120" t="str">
        <f t="shared" si="2"/>
        <v>Week4</v>
      </c>
      <c r="F120" t="s">
        <v>1018</v>
      </c>
      <c r="G120" t="s">
        <v>1013</v>
      </c>
      <c r="H120">
        <v>2000</v>
      </c>
      <c r="I120" t="s">
        <v>1027</v>
      </c>
      <c r="J120" t="s">
        <v>1030</v>
      </c>
      <c r="K120" t="s">
        <v>1031</v>
      </c>
    </row>
    <row r="121" spans="1:11" x14ac:dyDescent="0.25">
      <c r="A121" t="s">
        <v>120</v>
      </c>
      <c r="B121" s="1">
        <v>45441</v>
      </c>
      <c r="C121">
        <f t="shared" si="4"/>
        <v>2024</v>
      </c>
      <c r="D121" t="str">
        <f t="shared" si="3"/>
        <v>May</v>
      </c>
      <c r="E121" t="str">
        <f t="shared" si="2"/>
        <v>Week5</v>
      </c>
      <c r="F121" t="s">
        <v>1068</v>
      </c>
      <c r="G121" t="s">
        <v>1011</v>
      </c>
      <c r="H121">
        <v>18000</v>
      </c>
      <c r="I121" t="s">
        <v>1027</v>
      </c>
      <c r="J121" t="s">
        <v>1030</v>
      </c>
      <c r="K121" t="s">
        <v>1031</v>
      </c>
    </row>
    <row r="122" spans="1:11" x14ac:dyDescent="0.25">
      <c r="A122" t="s">
        <v>121</v>
      </c>
      <c r="B122" s="1">
        <v>45441</v>
      </c>
      <c r="C122">
        <f t="shared" si="4"/>
        <v>2024</v>
      </c>
      <c r="D122" t="str">
        <f t="shared" si="3"/>
        <v>May</v>
      </c>
      <c r="E122" t="str">
        <f t="shared" si="2"/>
        <v>Week5</v>
      </c>
      <c r="F122" t="s">
        <v>1065</v>
      </c>
      <c r="G122" t="s">
        <v>1011</v>
      </c>
      <c r="H122">
        <v>23000</v>
      </c>
      <c r="I122" t="s">
        <v>1029</v>
      </c>
      <c r="J122" t="s">
        <v>1030</v>
      </c>
      <c r="K122" t="s">
        <v>1031</v>
      </c>
    </row>
    <row r="123" spans="1:11" x14ac:dyDescent="0.25">
      <c r="A123" t="s">
        <v>122</v>
      </c>
      <c r="B123" s="1">
        <v>45443</v>
      </c>
      <c r="C123">
        <f t="shared" si="4"/>
        <v>2024</v>
      </c>
      <c r="D123" t="str">
        <f t="shared" si="3"/>
        <v>May</v>
      </c>
      <c r="E123" t="str">
        <f t="shared" si="2"/>
        <v>Week5</v>
      </c>
      <c r="F123" t="s">
        <v>1025</v>
      </c>
      <c r="G123" t="s">
        <v>1014</v>
      </c>
      <c r="H123">
        <v>5000</v>
      </c>
      <c r="I123" t="s">
        <v>1027</v>
      </c>
      <c r="J123" t="s">
        <v>1030</v>
      </c>
      <c r="K123" t="s">
        <v>1031</v>
      </c>
    </row>
    <row r="124" spans="1:11" x14ac:dyDescent="0.25">
      <c r="A124" t="s">
        <v>123</v>
      </c>
      <c r="B124" s="1">
        <v>45443</v>
      </c>
      <c r="C124">
        <f t="shared" si="4"/>
        <v>2024</v>
      </c>
      <c r="D124" t="str">
        <f t="shared" si="3"/>
        <v>May</v>
      </c>
      <c r="E124" t="str">
        <f t="shared" si="2"/>
        <v>Week5</v>
      </c>
      <c r="F124" t="s">
        <v>1023</v>
      </c>
      <c r="G124" t="s">
        <v>1201</v>
      </c>
      <c r="H124">
        <v>7000</v>
      </c>
      <c r="I124" t="s">
        <v>1029</v>
      </c>
      <c r="J124" t="s">
        <v>1030</v>
      </c>
      <c r="K124" t="s">
        <v>1031</v>
      </c>
    </row>
    <row r="125" spans="1:11" x14ac:dyDescent="0.25">
      <c r="A125" t="s">
        <v>124</v>
      </c>
      <c r="B125" s="1">
        <v>45443</v>
      </c>
      <c r="C125">
        <f t="shared" si="4"/>
        <v>2024</v>
      </c>
      <c r="D125" t="str">
        <f t="shared" si="3"/>
        <v>May</v>
      </c>
      <c r="E125" t="str">
        <f t="shared" si="2"/>
        <v>Week5</v>
      </c>
      <c r="F125" t="s">
        <v>1070</v>
      </c>
      <c r="G125" t="s">
        <v>1010</v>
      </c>
      <c r="H125">
        <v>25000</v>
      </c>
      <c r="I125" t="s">
        <v>1027</v>
      </c>
      <c r="J125" t="s">
        <v>1030</v>
      </c>
      <c r="K125" t="s">
        <v>1031</v>
      </c>
    </row>
    <row r="126" spans="1:11" x14ac:dyDescent="0.25">
      <c r="A126" t="s">
        <v>125</v>
      </c>
      <c r="B126" s="1">
        <v>45446</v>
      </c>
      <c r="C126">
        <f t="shared" si="4"/>
        <v>2024</v>
      </c>
      <c r="D126" t="str">
        <f t="shared" si="3"/>
        <v>June</v>
      </c>
      <c r="E126" t="str">
        <f t="shared" si="2"/>
        <v>Week1</v>
      </c>
      <c r="F126" t="s">
        <v>1019</v>
      </c>
      <c r="G126" t="s">
        <v>1197</v>
      </c>
      <c r="H126">
        <v>11000</v>
      </c>
      <c r="I126" t="s">
        <v>1027</v>
      </c>
      <c r="J126" t="s">
        <v>1030</v>
      </c>
      <c r="K126" t="s">
        <v>1031</v>
      </c>
    </row>
    <row r="127" spans="1:11" x14ac:dyDescent="0.25">
      <c r="A127" t="s">
        <v>126</v>
      </c>
      <c r="B127" s="1">
        <v>45446</v>
      </c>
      <c r="C127">
        <f t="shared" si="4"/>
        <v>2024</v>
      </c>
      <c r="D127" t="str">
        <f t="shared" si="3"/>
        <v>June</v>
      </c>
      <c r="E127" t="str">
        <f t="shared" si="2"/>
        <v>Week1</v>
      </c>
      <c r="F127" t="s">
        <v>1033</v>
      </c>
      <c r="G127" t="s">
        <v>1014</v>
      </c>
      <c r="H127">
        <v>68100</v>
      </c>
      <c r="I127" t="s">
        <v>1028</v>
      </c>
      <c r="J127" t="s">
        <v>1030</v>
      </c>
      <c r="K127" t="s">
        <v>1031</v>
      </c>
    </row>
    <row r="128" spans="1:11" x14ac:dyDescent="0.25">
      <c r="A128" t="s">
        <v>127</v>
      </c>
      <c r="B128" s="1">
        <v>45447</v>
      </c>
      <c r="C128">
        <f t="shared" si="4"/>
        <v>2024</v>
      </c>
      <c r="D128" t="str">
        <f t="shared" si="3"/>
        <v>June</v>
      </c>
      <c r="E128" t="str">
        <f t="shared" si="2"/>
        <v>Week1</v>
      </c>
      <c r="F128" t="s">
        <v>1049</v>
      </c>
      <c r="G128" t="s">
        <v>1199</v>
      </c>
      <c r="H128">
        <v>20000</v>
      </c>
      <c r="I128" t="s">
        <v>1027</v>
      </c>
      <c r="J128" t="s">
        <v>1030</v>
      </c>
      <c r="K128" t="s">
        <v>1031</v>
      </c>
    </row>
    <row r="129" spans="1:11" x14ac:dyDescent="0.25">
      <c r="A129" t="s">
        <v>128</v>
      </c>
      <c r="B129" s="1">
        <v>45447</v>
      </c>
      <c r="C129">
        <f t="shared" si="4"/>
        <v>2024</v>
      </c>
      <c r="D129" t="str">
        <f t="shared" si="3"/>
        <v>June</v>
      </c>
      <c r="E129" t="str">
        <f t="shared" si="2"/>
        <v>Week1</v>
      </c>
      <c r="F129" t="s">
        <v>1037</v>
      </c>
      <c r="G129" t="s">
        <v>1199</v>
      </c>
      <c r="H129">
        <v>20000</v>
      </c>
      <c r="I129" t="s">
        <v>1027</v>
      </c>
      <c r="J129" t="s">
        <v>1030</v>
      </c>
      <c r="K129" t="s">
        <v>1031</v>
      </c>
    </row>
    <row r="130" spans="1:11" x14ac:dyDescent="0.25">
      <c r="A130" t="s">
        <v>129</v>
      </c>
      <c r="B130" s="1">
        <v>45447</v>
      </c>
      <c r="C130">
        <f t="shared" si="4"/>
        <v>2024</v>
      </c>
      <c r="D130" t="str">
        <f t="shared" si="3"/>
        <v>June</v>
      </c>
      <c r="E130" t="str">
        <f t="shared" si="2"/>
        <v>Week1</v>
      </c>
      <c r="F130" t="s">
        <v>1046</v>
      </c>
      <c r="G130" t="s">
        <v>1014</v>
      </c>
      <c r="H130">
        <v>4200</v>
      </c>
      <c r="I130" t="s">
        <v>1028</v>
      </c>
      <c r="J130" t="s">
        <v>1030</v>
      </c>
      <c r="K130" t="s">
        <v>1031</v>
      </c>
    </row>
    <row r="131" spans="1:11" x14ac:dyDescent="0.25">
      <c r="A131" t="s">
        <v>130</v>
      </c>
      <c r="B131" s="1">
        <v>45447</v>
      </c>
      <c r="C131">
        <f t="shared" si="4"/>
        <v>2024</v>
      </c>
      <c r="D131" t="str">
        <f t="shared" si="3"/>
        <v>June</v>
      </c>
      <c r="E131" t="str">
        <f t="shared" si="2"/>
        <v>Week1</v>
      </c>
      <c r="F131" t="s">
        <v>1072</v>
      </c>
      <c r="G131" t="s">
        <v>1012</v>
      </c>
      <c r="H131">
        <v>5000</v>
      </c>
      <c r="I131" t="s">
        <v>1027</v>
      </c>
      <c r="J131" t="s">
        <v>1030</v>
      </c>
      <c r="K131" t="s">
        <v>1031</v>
      </c>
    </row>
    <row r="132" spans="1:11" x14ac:dyDescent="0.25">
      <c r="A132" t="s">
        <v>131</v>
      </c>
      <c r="B132" s="1">
        <v>45467</v>
      </c>
      <c r="C132">
        <f t="shared" si="4"/>
        <v>2024</v>
      </c>
      <c r="D132" t="str">
        <f t="shared" si="3"/>
        <v>June</v>
      </c>
      <c r="E132" t="str">
        <f t="shared" si="2"/>
        <v>Week4</v>
      </c>
      <c r="F132" t="s">
        <v>1018</v>
      </c>
      <c r="G132" t="s">
        <v>1013</v>
      </c>
      <c r="H132">
        <v>7000</v>
      </c>
      <c r="I132" t="s">
        <v>1027</v>
      </c>
      <c r="J132" t="s">
        <v>1030</v>
      </c>
      <c r="K132" t="s">
        <v>1031</v>
      </c>
    </row>
    <row r="133" spans="1:11" x14ac:dyDescent="0.25">
      <c r="A133" t="s">
        <v>132</v>
      </c>
      <c r="B133" s="1">
        <v>45467</v>
      </c>
      <c r="C133">
        <f t="shared" si="4"/>
        <v>2024</v>
      </c>
      <c r="D133" t="str">
        <f t="shared" si="3"/>
        <v>June</v>
      </c>
      <c r="E133" t="str">
        <f t="shared" si="2"/>
        <v>Week4</v>
      </c>
      <c r="F133" t="s">
        <v>1073</v>
      </c>
      <c r="G133" t="s">
        <v>1015</v>
      </c>
      <c r="H133">
        <v>15000</v>
      </c>
      <c r="I133" t="s">
        <v>1027</v>
      </c>
      <c r="J133" t="s">
        <v>1030</v>
      </c>
      <c r="K133" t="s">
        <v>1031</v>
      </c>
    </row>
    <row r="134" spans="1:11" x14ac:dyDescent="0.25">
      <c r="A134" t="s">
        <v>133</v>
      </c>
      <c r="B134" s="1">
        <v>45467</v>
      </c>
      <c r="C134">
        <f t="shared" si="4"/>
        <v>2024</v>
      </c>
      <c r="D134" t="str">
        <f t="shared" si="3"/>
        <v>June</v>
      </c>
      <c r="E134" t="str">
        <f t="shared" si="2"/>
        <v>Week4</v>
      </c>
      <c r="F134" t="s">
        <v>1046</v>
      </c>
      <c r="G134" t="s">
        <v>1014</v>
      </c>
      <c r="H134">
        <v>3900</v>
      </c>
      <c r="I134" t="s">
        <v>1028</v>
      </c>
      <c r="J134" t="s">
        <v>1030</v>
      </c>
      <c r="K134" t="s">
        <v>1031</v>
      </c>
    </row>
    <row r="135" spans="1:11" x14ac:dyDescent="0.25">
      <c r="A135" t="s">
        <v>134</v>
      </c>
      <c r="B135" s="1">
        <v>45467</v>
      </c>
      <c r="C135">
        <f t="shared" si="4"/>
        <v>2024</v>
      </c>
      <c r="D135" t="str">
        <f t="shared" si="3"/>
        <v>June</v>
      </c>
      <c r="E135" t="str">
        <f t="shared" si="2"/>
        <v>Week4</v>
      </c>
      <c r="F135" t="s">
        <v>1035</v>
      </c>
      <c r="G135" t="s">
        <v>1197</v>
      </c>
      <c r="H135">
        <v>11000</v>
      </c>
      <c r="I135" t="s">
        <v>1027</v>
      </c>
      <c r="J135" t="s">
        <v>1030</v>
      </c>
      <c r="K135" t="s">
        <v>1031</v>
      </c>
    </row>
    <row r="136" spans="1:11" x14ac:dyDescent="0.25">
      <c r="A136" t="s">
        <v>135</v>
      </c>
      <c r="B136" s="1">
        <v>45468</v>
      </c>
      <c r="C136">
        <f t="shared" ref="C136:C199" si="5">YEAR(B136)</f>
        <v>2024</v>
      </c>
      <c r="D136" t="str">
        <f t="shared" si="3"/>
        <v>June</v>
      </c>
      <c r="E136" t="str">
        <f t="shared" si="2"/>
        <v>Week4</v>
      </c>
      <c r="F136" t="s">
        <v>1074</v>
      </c>
      <c r="G136" t="s">
        <v>1012</v>
      </c>
      <c r="H136">
        <v>22000</v>
      </c>
      <c r="I136" t="s">
        <v>1027</v>
      </c>
      <c r="J136" t="s">
        <v>1030</v>
      </c>
      <c r="K136" t="s">
        <v>1031</v>
      </c>
    </row>
    <row r="137" spans="1:11" x14ac:dyDescent="0.25">
      <c r="A137" t="s">
        <v>136</v>
      </c>
      <c r="B137" s="1">
        <v>45468</v>
      </c>
      <c r="C137">
        <f t="shared" si="5"/>
        <v>2024</v>
      </c>
      <c r="D137" t="str">
        <f t="shared" si="3"/>
        <v>June</v>
      </c>
      <c r="E137" t="str">
        <f t="shared" si="2"/>
        <v>Week4</v>
      </c>
      <c r="F137" t="s">
        <v>1025</v>
      </c>
      <c r="G137" t="s">
        <v>1014</v>
      </c>
      <c r="H137">
        <v>5000</v>
      </c>
      <c r="I137" t="s">
        <v>1027</v>
      </c>
      <c r="J137" t="s">
        <v>1030</v>
      </c>
      <c r="K137" t="s">
        <v>1031</v>
      </c>
    </row>
    <row r="138" spans="1:11" x14ac:dyDescent="0.25">
      <c r="A138" t="s">
        <v>137</v>
      </c>
      <c r="B138" s="1">
        <v>45469</v>
      </c>
      <c r="C138">
        <f t="shared" si="5"/>
        <v>2024</v>
      </c>
      <c r="D138" t="str">
        <f t="shared" si="3"/>
        <v>June</v>
      </c>
      <c r="E138" t="str">
        <f t="shared" si="2"/>
        <v>Week4</v>
      </c>
      <c r="F138" t="s">
        <v>1075</v>
      </c>
      <c r="G138" t="s">
        <v>1010</v>
      </c>
      <c r="H138">
        <v>13500</v>
      </c>
      <c r="I138" t="s">
        <v>1027</v>
      </c>
      <c r="J138" t="s">
        <v>1030</v>
      </c>
      <c r="K138" t="s">
        <v>1031</v>
      </c>
    </row>
    <row r="139" spans="1:11" x14ac:dyDescent="0.25">
      <c r="A139" t="s">
        <v>138</v>
      </c>
      <c r="B139" s="1">
        <v>45470</v>
      </c>
      <c r="C139">
        <f t="shared" si="5"/>
        <v>2024</v>
      </c>
      <c r="D139" t="str">
        <f t="shared" si="3"/>
        <v>June</v>
      </c>
      <c r="E139" t="str">
        <f t="shared" si="2"/>
        <v>Week4</v>
      </c>
      <c r="F139" t="s">
        <v>1023</v>
      </c>
      <c r="G139" t="s">
        <v>1201</v>
      </c>
      <c r="H139">
        <v>7000</v>
      </c>
      <c r="I139" t="s">
        <v>1029</v>
      </c>
      <c r="J139" t="s">
        <v>1030</v>
      </c>
      <c r="K139" t="s">
        <v>1031</v>
      </c>
    </row>
    <row r="140" spans="1:11" x14ac:dyDescent="0.25">
      <c r="A140" t="s">
        <v>139</v>
      </c>
      <c r="B140" s="1">
        <v>45471</v>
      </c>
      <c r="C140">
        <f t="shared" si="5"/>
        <v>2024</v>
      </c>
      <c r="D140" t="str">
        <f t="shared" si="3"/>
        <v>June</v>
      </c>
      <c r="E140" t="str">
        <f t="shared" si="2"/>
        <v>Week4</v>
      </c>
      <c r="F140" t="s">
        <v>1076</v>
      </c>
      <c r="G140" t="s">
        <v>1197</v>
      </c>
      <c r="H140">
        <v>64000</v>
      </c>
      <c r="I140" t="s">
        <v>1027</v>
      </c>
      <c r="J140" t="s">
        <v>1030</v>
      </c>
      <c r="K140" t="s">
        <v>1031</v>
      </c>
    </row>
    <row r="141" spans="1:11" x14ac:dyDescent="0.25">
      <c r="A141" t="s">
        <v>140</v>
      </c>
      <c r="B141" s="1">
        <v>45474</v>
      </c>
      <c r="C141">
        <f t="shared" si="5"/>
        <v>2024</v>
      </c>
      <c r="D141" t="str">
        <f t="shared" si="3"/>
        <v>July</v>
      </c>
      <c r="E141" t="str">
        <f t="shared" si="2"/>
        <v>Week1</v>
      </c>
      <c r="F141" t="s">
        <v>1077</v>
      </c>
      <c r="G141" t="s">
        <v>1011</v>
      </c>
      <c r="H141">
        <v>30000</v>
      </c>
      <c r="I141" t="s">
        <v>1027</v>
      </c>
      <c r="J141" t="s">
        <v>1030</v>
      </c>
      <c r="K141" t="s">
        <v>1031</v>
      </c>
    </row>
    <row r="142" spans="1:11" x14ac:dyDescent="0.25">
      <c r="A142" t="s">
        <v>141</v>
      </c>
      <c r="B142" s="1">
        <v>45474</v>
      </c>
      <c r="C142">
        <f t="shared" si="5"/>
        <v>2024</v>
      </c>
      <c r="D142" t="str">
        <f t="shared" si="3"/>
        <v>July</v>
      </c>
      <c r="E142" t="str">
        <f t="shared" si="2"/>
        <v>Week1</v>
      </c>
      <c r="F142" t="s">
        <v>1033</v>
      </c>
      <c r="G142" t="s">
        <v>1014</v>
      </c>
      <c r="H142">
        <v>72470</v>
      </c>
      <c r="I142" t="s">
        <v>1028</v>
      </c>
      <c r="J142" t="s">
        <v>1030</v>
      </c>
      <c r="K142" t="s">
        <v>1031</v>
      </c>
    </row>
    <row r="143" spans="1:11" x14ac:dyDescent="0.25">
      <c r="A143" t="s">
        <v>142</v>
      </c>
      <c r="B143" s="1">
        <v>45475</v>
      </c>
      <c r="C143">
        <f t="shared" si="5"/>
        <v>2024</v>
      </c>
      <c r="D143" t="str">
        <f t="shared" si="3"/>
        <v>July</v>
      </c>
      <c r="E143" t="str">
        <f t="shared" si="2"/>
        <v>Week1</v>
      </c>
      <c r="F143" t="s">
        <v>1065</v>
      </c>
      <c r="G143" t="s">
        <v>1011</v>
      </c>
      <c r="H143">
        <v>22000</v>
      </c>
      <c r="I143" t="s">
        <v>1027</v>
      </c>
      <c r="J143" t="s">
        <v>1030</v>
      </c>
      <c r="K143" t="s">
        <v>1031</v>
      </c>
    </row>
    <row r="144" spans="1:11" x14ac:dyDescent="0.25">
      <c r="A144" t="s">
        <v>143</v>
      </c>
      <c r="B144" s="1">
        <v>45475</v>
      </c>
      <c r="C144">
        <f t="shared" si="5"/>
        <v>2024</v>
      </c>
      <c r="D144" t="str">
        <f t="shared" si="3"/>
        <v>July</v>
      </c>
      <c r="E144" t="str">
        <f t="shared" si="2"/>
        <v>Week1</v>
      </c>
      <c r="F144" t="s">
        <v>1068</v>
      </c>
      <c r="G144" t="s">
        <v>1011</v>
      </c>
      <c r="H144">
        <v>18000</v>
      </c>
      <c r="I144" t="s">
        <v>1027</v>
      </c>
      <c r="J144" t="s">
        <v>1030</v>
      </c>
      <c r="K144" t="s">
        <v>1031</v>
      </c>
    </row>
    <row r="145" spans="1:11" x14ac:dyDescent="0.25">
      <c r="A145" t="s">
        <v>144</v>
      </c>
      <c r="B145" s="1">
        <v>45477</v>
      </c>
      <c r="C145">
        <f t="shared" si="5"/>
        <v>2024</v>
      </c>
      <c r="D145" t="str">
        <f t="shared" si="3"/>
        <v>July</v>
      </c>
      <c r="E145" t="str">
        <f t="shared" si="2"/>
        <v>Week1</v>
      </c>
      <c r="F145" t="s">
        <v>1078</v>
      </c>
      <c r="G145" t="s">
        <v>1199</v>
      </c>
      <c r="H145">
        <v>18000</v>
      </c>
      <c r="I145" t="s">
        <v>1027</v>
      </c>
      <c r="J145" t="s">
        <v>1030</v>
      </c>
      <c r="K145" t="s">
        <v>1031</v>
      </c>
    </row>
    <row r="146" spans="1:11" x14ac:dyDescent="0.25">
      <c r="A146" t="s">
        <v>145</v>
      </c>
      <c r="B146" s="1">
        <v>45477</v>
      </c>
      <c r="C146">
        <f t="shared" si="5"/>
        <v>2024</v>
      </c>
      <c r="D146" t="str">
        <f t="shared" si="3"/>
        <v>July</v>
      </c>
      <c r="E146" t="str">
        <f t="shared" si="2"/>
        <v>Week1</v>
      </c>
      <c r="F146" t="s">
        <v>1079</v>
      </c>
      <c r="G146" t="s">
        <v>1199</v>
      </c>
      <c r="H146">
        <v>20000</v>
      </c>
      <c r="I146" t="s">
        <v>1027</v>
      </c>
      <c r="J146" t="s">
        <v>1030</v>
      </c>
      <c r="K146" t="s">
        <v>1031</v>
      </c>
    </row>
    <row r="147" spans="1:11" x14ac:dyDescent="0.25">
      <c r="A147" t="s">
        <v>146</v>
      </c>
      <c r="B147" s="1">
        <v>45481</v>
      </c>
      <c r="C147">
        <f t="shared" si="5"/>
        <v>2024</v>
      </c>
      <c r="D147" t="str">
        <f t="shared" si="3"/>
        <v>July</v>
      </c>
      <c r="E147" t="str">
        <f t="shared" si="2"/>
        <v>Week2</v>
      </c>
      <c r="F147" t="s">
        <v>1019</v>
      </c>
      <c r="G147" t="s">
        <v>1197</v>
      </c>
      <c r="H147">
        <v>11000</v>
      </c>
      <c r="I147" t="s">
        <v>1027</v>
      </c>
      <c r="J147" t="s">
        <v>1030</v>
      </c>
      <c r="K147" t="s">
        <v>1031</v>
      </c>
    </row>
    <row r="148" spans="1:11" x14ac:dyDescent="0.25">
      <c r="A148" t="s">
        <v>147</v>
      </c>
      <c r="B148" s="1">
        <v>45482</v>
      </c>
      <c r="C148">
        <f t="shared" si="5"/>
        <v>2024</v>
      </c>
      <c r="D148" t="str">
        <f t="shared" si="3"/>
        <v>July</v>
      </c>
      <c r="E148" t="str">
        <f t="shared" si="2"/>
        <v>Week2</v>
      </c>
      <c r="F148" t="s">
        <v>1080</v>
      </c>
      <c r="G148" t="s">
        <v>1199</v>
      </c>
      <c r="H148">
        <v>20000</v>
      </c>
      <c r="I148" t="s">
        <v>1027</v>
      </c>
      <c r="J148" t="s">
        <v>1030</v>
      </c>
      <c r="K148" t="s">
        <v>1031</v>
      </c>
    </row>
    <row r="149" spans="1:11" x14ac:dyDescent="0.25">
      <c r="A149" t="s">
        <v>148</v>
      </c>
      <c r="B149" s="1">
        <v>45478</v>
      </c>
      <c r="C149">
        <f t="shared" si="5"/>
        <v>2024</v>
      </c>
      <c r="D149" t="str">
        <f t="shared" si="3"/>
        <v>July</v>
      </c>
      <c r="E149" t="str">
        <f t="shared" si="2"/>
        <v>Week1</v>
      </c>
      <c r="F149" t="s">
        <v>1018</v>
      </c>
      <c r="G149" t="s">
        <v>1013</v>
      </c>
      <c r="H149">
        <v>2000</v>
      </c>
      <c r="I149" t="s">
        <v>1027</v>
      </c>
      <c r="J149" t="s">
        <v>1030</v>
      </c>
      <c r="K149" t="s">
        <v>1031</v>
      </c>
    </row>
    <row r="150" spans="1:11" x14ac:dyDescent="0.25">
      <c r="A150" t="s">
        <v>149</v>
      </c>
      <c r="B150" s="1">
        <v>45478</v>
      </c>
      <c r="C150">
        <f t="shared" si="5"/>
        <v>2024</v>
      </c>
      <c r="D150" t="str">
        <f t="shared" si="3"/>
        <v>July</v>
      </c>
      <c r="E150" t="str">
        <f t="shared" si="2"/>
        <v>Week1</v>
      </c>
      <c r="F150" t="s">
        <v>1025</v>
      </c>
      <c r="G150" t="s">
        <v>1014</v>
      </c>
      <c r="H150">
        <v>5000</v>
      </c>
      <c r="I150" t="s">
        <v>1027</v>
      </c>
      <c r="J150" t="s">
        <v>1030</v>
      </c>
      <c r="K150" t="s">
        <v>1031</v>
      </c>
    </row>
    <row r="151" spans="1:11" x14ac:dyDescent="0.25">
      <c r="A151" t="s">
        <v>150</v>
      </c>
      <c r="B151" s="1">
        <v>45488</v>
      </c>
      <c r="C151">
        <f t="shared" si="5"/>
        <v>2024</v>
      </c>
      <c r="D151" t="str">
        <f t="shared" si="3"/>
        <v>July</v>
      </c>
      <c r="E151" t="str">
        <f t="shared" si="2"/>
        <v>Week3</v>
      </c>
      <c r="F151" t="s">
        <v>1081</v>
      </c>
      <c r="G151" t="s">
        <v>1012</v>
      </c>
      <c r="H151">
        <v>4000</v>
      </c>
      <c r="I151" t="s">
        <v>1029</v>
      </c>
      <c r="J151" t="s">
        <v>1030</v>
      </c>
      <c r="K151" t="s">
        <v>1031</v>
      </c>
    </row>
    <row r="152" spans="1:11" x14ac:dyDescent="0.25">
      <c r="A152" t="s">
        <v>151</v>
      </c>
      <c r="B152" s="1">
        <v>45488</v>
      </c>
      <c r="C152">
        <f t="shared" si="5"/>
        <v>2024</v>
      </c>
      <c r="D152" t="str">
        <f t="shared" si="3"/>
        <v>July</v>
      </c>
      <c r="E152" t="str">
        <f t="shared" si="2"/>
        <v>Week3</v>
      </c>
      <c r="F152" t="s">
        <v>1019</v>
      </c>
      <c r="G152" t="s">
        <v>1197</v>
      </c>
      <c r="H152">
        <v>11000</v>
      </c>
      <c r="I152" t="s">
        <v>1027</v>
      </c>
      <c r="J152" t="s">
        <v>1030</v>
      </c>
      <c r="K152" t="s">
        <v>1031</v>
      </c>
    </row>
    <row r="153" spans="1:11" x14ac:dyDescent="0.25">
      <c r="A153" t="s">
        <v>152</v>
      </c>
      <c r="B153" s="1">
        <v>45489</v>
      </c>
      <c r="C153">
        <f t="shared" si="5"/>
        <v>2024</v>
      </c>
      <c r="D153" t="str">
        <f t="shared" si="3"/>
        <v>July</v>
      </c>
      <c r="E153" t="str">
        <f t="shared" si="2"/>
        <v>Week3</v>
      </c>
      <c r="F153" t="s">
        <v>1065</v>
      </c>
      <c r="G153" t="s">
        <v>1011</v>
      </c>
      <c r="H153">
        <v>20000</v>
      </c>
      <c r="I153" t="s">
        <v>1028</v>
      </c>
      <c r="J153" t="s">
        <v>1030</v>
      </c>
      <c r="K153" t="s">
        <v>1031</v>
      </c>
    </row>
    <row r="154" spans="1:11" x14ac:dyDescent="0.25">
      <c r="A154" t="s">
        <v>153</v>
      </c>
      <c r="B154" s="1">
        <v>45489</v>
      </c>
      <c r="C154">
        <f t="shared" si="5"/>
        <v>2024</v>
      </c>
      <c r="D154" t="str">
        <f t="shared" si="3"/>
        <v>July</v>
      </c>
      <c r="E154" t="str">
        <f t="shared" si="2"/>
        <v>Week3</v>
      </c>
      <c r="F154" t="s">
        <v>1046</v>
      </c>
      <c r="G154" t="s">
        <v>1014</v>
      </c>
      <c r="H154">
        <v>3900</v>
      </c>
      <c r="I154" t="s">
        <v>1027</v>
      </c>
      <c r="J154" t="s">
        <v>1030</v>
      </c>
      <c r="K154" t="s">
        <v>1031</v>
      </c>
    </row>
    <row r="155" spans="1:11" x14ac:dyDescent="0.25">
      <c r="A155" t="s">
        <v>154</v>
      </c>
      <c r="B155" s="1">
        <v>45490</v>
      </c>
      <c r="C155">
        <f t="shared" si="5"/>
        <v>2024</v>
      </c>
      <c r="D155" t="str">
        <f t="shared" si="3"/>
        <v>July</v>
      </c>
      <c r="E155" t="str">
        <f t="shared" si="2"/>
        <v>Week3</v>
      </c>
      <c r="F155" t="s">
        <v>1068</v>
      </c>
      <c r="G155" t="s">
        <v>1011</v>
      </c>
      <c r="H155">
        <v>19000</v>
      </c>
      <c r="I155" t="s">
        <v>1027</v>
      </c>
      <c r="J155" t="s">
        <v>1030</v>
      </c>
      <c r="K155" t="s">
        <v>1031</v>
      </c>
    </row>
    <row r="156" spans="1:11" x14ac:dyDescent="0.25">
      <c r="A156" t="s">
        <v>155</v>
      </c>
      <c r="B156" s="1">
        <v>45491</v>
      </c>
      <c r="C156">
        <f t="shared" si="5"/>
        <v>2024</v>
      </c>
      <c r="D156" t="str">
        <f t="shared" si="3"/>
        <v>July</v>
      </c>
      <c r="E156" t="str">
        <f t="shared" si="2"/>
        <v>Week3</v>
      </c>
      <c r="F156" t="s">
        <v>1077</v>
      </c>
      <c r="G156" t="s">
        <v>1011</v>
      </c>
      <c r="H156">
        <v>22000</v>
      </c>
      <c r="I156" t="s">
        <v>1027</v>
      </c>
      <c r="J156" t="s">
        <v>1030</v>
      </c>
      <c r="K156" t="s">
        <v>1031</v>
      </c>
    </row>
    <row r="157" spans="1:11" x14ac:dyDescent="0.25">
      <c r="A157" t="s">
        <v>156</v>
      </c>
      <c r="B157" s="1">
        <v>45492</v>
      </c>
      <c r="C157">
        <f t="shared" si="5"/>
        <v>2024</v>
      </c>
      <c r="D157" t="str">
        <f t="shared" si="3"/>
        <v>July</v>
      </c>
      <c r="E157" t="str">
        <f t="shared" ref="E157:E171" si="6">"Week"&amp;ROUNDUP(DAY(B156)/7,0)</f>
        <v>Week3</v>
      </c>
      <c r="F157" t="s">
        <v>1065</v>
      </c>
      <c r="G157" t="s">
        <v>1011</v>
      </c>
      <c r="H157">
        <v>15000</v>
      </c>
      <c r="I157" t="s">
        <v>1027</v>
      </c>
      <c r="J157" t="s">
        <v>1030</v>
      </c>
      <c r="K157" t="s">
        <v>1031</v>
      </c>
    </row>
    <row r="158" spans="1:11" x14ac:dyDescent="0.25">
      <c r="A158" t="s">
        <v>157</v>
      </c>
      <c r="B158" s="1">
        <v>45491</v>
      </c>
      <c r="C158">
        <f t="shared" si="5"/>
        <v>2024</v>
      </c>
      <c r="D158" t="str">
        <f t="shared" si="3"/>
        <v>July</v>
      </c>
      <c r="E158" t="str">
        <f t="shared" si="6"/>
        <v>Week3</v>
      </c>
      <c r="F158" t="s">
        <v>1018</v>
      </c>
      <c r="G158" t="s">
        <v>1013</v>
      </c>
      <c r="H158">
        <v>2000</v>
      </c>
      <c r="I158" t="s">
        <v>1027</v>
      </c>
      <c r="J158" t="s">
        <v>1030</v>
      </c>
      <c r="K158" t="s">
        <v>1031</v>
      </c>
    </row>
    <row r="159" spans="1:11" x14ac:dyDescent="0.25">
      <c r="A159" t="s">
        <v>158</v>
      </c>
      <c r="B159" s="1">
        <v>45495</v>
      </c>
      <c r="C159">
        <f t="shared" si="5"/>
        <v>2024</v>
      </c>
      <c r="D159" t="str">
        <f t="shared" si="3"/>
        <v>July</v>
      </c>
      <c r="E159" t="str">
        <f t="shared" si="6"/>
        <v>Week3</v>
      </c>
      <c r="F159" t="s">
        <v>1065</v>
      </c>
      <c r="G159" t="s">
        <v>1011</v>
      </c>
      <c r="H159">
        <v>25000</v>
      </c>
      <c r="I159" t="s">
        <v>1028</v>
      </c>
      <c r="J159" t="s">
        <v>1030</v>
      </c>
      <c r="K159" t="s">
        <v>1031</v>
      </c>
    </row>
    <row r="160" spans="1:11" x14ac:dyDescent="0.25">
      <c r="A160" t="s">
        <v>159</v>
      </c>
      <c r="B160" s="1">
        <v>45495</v>
      </c>
      <c r="C160">
        <f t="shared" si="5"/>
        <v>2024</v>
      </c>
      <c r="D160" t="str">
        <f t="shared" si="3"/>
        <v>July</v>
      </c>
      <c r="E160" t="str">
        <f t="shared" si="6"/>
        <v>Week4</v>
      </c>
      <c r="F160" t="s">
        <v>1035</v>
      </c>
      <c r="G160" t="s">
        <v>1197</v>
      </c>
      <c r="H160">
        <v>11000</v>
      </c>
      <c r="I160" t="s">
        <v>1027</v>
      </c>
      <c r="J160" t="s">
        <v>1030</v>
      </c>
      <c r="K160" t="s">
        <v>1031</v>
      </c>
    </row>
    <row r="161" spans="1:11" x14ac:dyDescent="0.25">
      <c r="A161" t="s">
        <v>160</v>
      </c>
      <c r="B161" s="1">
        <v>45497</v>
      </c>
      <c r="C161">
        <f t="shared" si="5"/>
        <v>2024</v>
      </c>
      <c r="D161" t="str">
        <f t="shared" si="3"/>
        <v>July</v>
      </c>
      <c r="E161" t="str">
        <f t="shared" si="6"/>
        <v>Week4</v>
      </c>
      <c r="F161" t="s">
        <v>1068</v>
      </c>
      <c r="G161" t="s">
        <v>1011</v>
      </c>
      <c r="H161">
        <v>20000</v>
      </c>
      <c r="I161" t="s">
        <v>1028</v>
      </c>
      <c r="J161" t="s">
        <v>1030</v>
      </c>
      <c r="K161" t="s">
        <v>1031</v>
      </c>
    </row>
    <row r="162" spans="1:11" x14ac:dyDescent="0.25">
      <c r="A162" t="s">
        <v>161</v>
      </c>
      <c r="B162" s="1">
        <v>45497</v>
      </c>
      <c r="C162">
        <f t="shared" si="5"/>
        <v>2024</v>
      </c>
      <c r="D162" t="str">
        <f t="shared" si="3"/>
        <v>July</v>
      </c>
      <c r="E162" t="str">
        <f t="shared" si="6"/>
        <v>Week4</v>
      </c>
      <c r="F162" t="s">
        <v>1077</v>
      </c>
      <c r="G162" t="s">
        <v>1011</v>
      </c>
      <c r="H162">
        <v>22000</v>
      </c>
      <c r="I162" t="s">
        <v>1028</v>
      </c>
      <c r="J162" t="s">
        <v>1030</v>
      </c>
      <c r="K162" t="s">
        <v>1031</v>
      </c>
    </row>
    <row r="163" spans="1:11" x14ac:dyDescent="0.25">
      <c r="A163" t="s">
        <v>162</v>
      </c>
      <c r="B163" s="1">
        <v>45498</v>
      </c>
      <c r="C163">
        <f t="shared" si="5"/>
        <v>2024</v>
      </c>
      <c r="D163" t="str">
        <f t="shared" si="3"/>
        <v>July</v>
      </c>
      <c r="E163" t="str">
        <f t="shared" si="6"/>
        <v>Week4</v>
      </c>
      <c r="F163" t="s">
        <v>1025</v>
      </c>
      <c r="G163" t="s">
        <v>1014</v>
      </c>
      <c r="H163">
        <v>5000</v>
      </c>
      <c r="I163" t="s">
        <v>1027</v>
      </c>
      <c r="J163" t="s">
        <v>1030</v>
      </c>
      <c r="K163" t="s">
        <v>1031</v>
      </c>
    </row>
    <row r="164" spans="1:11" x14ac:dyDescent="0.25">
      <c r="A164" t="s">
        <v>163</v>
      </c>
      <c r="B164" s="1">
        <v>45498</v>
      </c>
      <c r="C164">
        <f t="shared" si="5"/>
        <v>2024</v>
      </c>
      <c r="D164" t="str">
        <f t="shared" si="3"/>
        <v>July</v>
      </c>
      <c r="E164" t="str">
        <f t="shared" si="6"/>
        <v>Week4</v>
      </c>
      <c r="F164" t="s">
        <v>1065</v>
      </c>
      <c r="G164" t="s">
        <v>1011</v>
      </c>
      <c r="H164">
        <v>18000</v>
      </c>
      <c r="I164" t="s">
        <v>1028</v>
      </c>
      <c r="J164" t="s">
        <v>1030</v>
      </c>
      <c r="K164" t="s">
        <v>1031</v>
      </c>
    </row>
    <row r="165" spans="1:11" x14ac:dyDescent="0.25">
      <c r="A165" t="s">
        <v>164</v>
      </c>
      <c r="B165" s="1">
        <v>45502</v>
      </c>
      <c r="C165">
        <f t="shared" si="5"/>
        <v>2024</v>
      </c>
      <c r="D165" t="str">
        <f t="shared" si="3"/>
        <v>July</v>
      </c>
      <c r="E165" t="str">
        <f t="shared" si="6"/>
        <v>Week4</v>
      </c>
      <c r="F165" t="s">
        <v>1065</v>
      </c>
      <c r="G165" t="s">
        <v>1011</v>
      </c>
      <c r="H165">
        <v>25000</v>
      </c>
      <c r="I165" t="s">
        <v>1027</v>
      </c>
      <c r="J165" t="s">
        <v>1030</v>
      </c>
      <c r="K165" t="s">
        <v>1031</v>
      </c>
    </row>
    <row r="166" spans="1:11" x14ac:dyDescent="0.25">
      <c r="A166" t="s">
        <v>165</v>
      </c>
      <c r="B166" s="1">
        <v>45502</v>
      </c>
      <c r="C166">
        <f t="shared" si="5"/>
        <v>2024</v>
      </c>
      <c r="D166" t="str">
        <f t="shared" si="3"/>
        <v>July</v>
      </c>
      <c r="E166" t="str">
        <f t="shared" si="6"/>
        <v>Week5</v>
      </c>
      <c r="F166" t="s">
        <v>1035</v>
      </c>
      <c r="G166" t="s">
        <v>1197</v>
      </c>
      <c r="H166">
        <v>11000</v>
      </c>
      <c r="I166" t="s">
        <v>1027</v>
      </c>
      <c r="J166" t="s">
        <v>1030</v>
      </c>
      <c r="K166" t="s">
        <v>1031</v>
      </c>
    </row>
    <row r="167" spans="1:11" x14ac:dyDescent="0.25">
      <c r="A167" t="s">
        <v>166</v>
      </c>
      <c r="B167" s="1">
        <v>45503</v>
      </c>
      <c r="C167">
        <f t="shared" si="5"/>
        <v>2024</v>
      </c>
      <c r="D167" t="str">
        <f t="shared" si="3"/>
        <v>July</v>
      </c>
      <c r="E167" t="str">
        <f t="shared" si="6"/>
        <v>Week5</v>
      </c>
      <c r="F167" t="s">
        <v>1077</v>
      </c>
      <c r="G167" t="s">
        <v>1011</v>
      </c>
      <c r="H167">
        <v>25000</v>
      </c>
      <c r="I167" t="s">
        <v>1027</v>
      </c>
      <c r="J167" t="s">
        <v>1030</v>
      </c>
      <c r="K167" t="s">
        <v>1031</v>
      </c>
    </row>
    <row r="168" spans="1:11" x14ac:dyDescent="0.25">
      <c r="A168" t="s">
        <v>167</v>
      </c>
      <c r="B168" s="1">
        <v>45503</v>
      </c>
      <c r="C168">
        <f t="shared" si="5"/>
        <v>2024</v>
      </c>
      <c r="D168" t="str">
        <f t="shared" si="3"/>
        <v>July</v>
      </c>
      <c r="E168" t="str">
        <f t="shared" si="6"/>
        <v>Week5</v>
      </c>
      <c r="F168" t="s">
        <v>1082</v>
      </c>
      <c r="G168" t="s">
        <v>1198</v>
      </c>
      <c r="H168">
        <v>66000</v>
      </c>
      <c r="I168" t="s">
        <v>1027</v>
      </c>
      <c r="J168" t="s">
        <v>1030</v>
      </c>
      <c r="K168" t="s">
        <v>1031</v>
      </c>
    </row>
    <row r="169" spans="1:11" x14ac:dyDescent="0.25">
      <c r="A169" t="s">
        <v>168</v>
      </c>
      <c r="B169" s="1">
        <v>45504</v>
      </c>
      <c r="C169">
        <f t="shared" si="5"/>
        <v>2024</v>
      </c>
      <c r="D169" t="str">
        <f t="shared" si="3"/>
        <v>July</v>
      </c>
      <c r="E169" t="str">
        <f t="shared" si="6"/>
        <v>Week5</v>
      </c>
      <c r="F169" t="s">
        <v>1023</v>
      </c>
      <c r="G169" t="s">
        <v>1201</v>
      </c>
      <c r="H169">
        <v>7000</v>
      </c>
      <c r="I169" t="s">
        <v>1029</v>
      </c>
      <c r="J169" t="s">
        <v>1030</v>
      </c>
      <c r="K169" t="s">
        <v>1031</v>
      </c>
    </row>
    <row r="170" spans="1:11" x14ac:dyDescent="0.25">
      <c r="A170" t="s">
        <v>169</v>
      </c>
      <c r="B170" s="1">
        <v>45504</v>
      </c>
      <c r="C170">
        <f t="shared" si="5"/>
        <v>2024</v>
      </c>
      <c r="D170" t="str">
        <f t="shared" si="3"/>
        <v>July</v>
      </c>
      <c r="E170" t="str">
        <f t="shared" si="6"/>
        <v>Week5</v>
      </c>
      <c r="F170" t="s">
        <v>1065</v>
      </c>
      <c r="G170" t="s">
        <v>1011</v>
      </c>
      <c r="H170">
        <v>18000</v>
      </c>
      <c r="I170" t="s">
        <v>1027</v>
      </c>
      <c r="J170" t="s">
        <v>1030</v>
      </c>
      <c r="K170" t="s">
        <v>1031</v>
      </c>
    </row>
    <row r="171" spans="1:11" x14ac:dyDescent="0.25">
      <c r="A171" t="s">
        <v>170</v>
      </c>
      <c r="B171" s="1">
        <v>45504</v>
      </c>
      <c r="C171">
        <f t="shared" si="5"/>
        <v>2024</v>
      </c>
      <c r="D171" t="str">
        <f t="shared" si="3"/>
        <v>July</v>
      </c>
      <c r="E171" t="str">
        <f t="shared" si="6"/>
        <v>Week5</v>
      </c>
      <c r="F171" t="s">
        <v>1083</v>
      </c>
      <c r="G171" t="s">
        <v>1011</v>
      </c>
      <c r="H171">
        <v>20000</v>
      </c>
      <c r="I171" t="s">
        <v>1027</v>
      </c>
      <c r="J171" t="s">
        <v>1030</v>
      </c>
      <c r="K171" t="s">
        <v>1031</v>
      </c>
    </row>
    <row r="172" spans="1:11" x14ac:dyDescent="0.25">
      <c r="A172" t="s">
        <v>171</v>
      </c>
      <c r="B172" s="1">
        <v>45505</v>
      </c>
      <c r="C172">
        <f t="shared" si="5"/>
        <v>2024</v>
      </c>
      <c r="D172" t="str">
        <f t="shared" si="3"/>
        <v>August</v>
      </c>
      <c r="E172" t="str">
        <f>"Week"&amp;ROUNDUP(DAY(B17)/7,0)</f>
        <v>Week1</v>
      </c>
      <c r="F172" t="s">
        <v>1018</v>
      </c>
      <c r="G172" t="s">
        <v>1013</v>
      </c>
      <c r="H172">
        <v>8000</v>
      </c>
      <c r="I172" t="s">
        <v>1027</v>
      </c>
      <c r="J172" t="s">
        <v>1030</v>
      </c>
      <c r="K172" t="s">
        <v>1031</v>
      </c>
    </row>
    <row r="173" spans="1:11" x14ac:dyDescent="0.25">
      <c r="A173" t="s">
        <v>172</v>
      </c>
      <c r="B173" s="1">
        <v>45504</v>
      </c>
      <c r="C173">
        <f t="shared" si="5"/>
        <v>2024</v>
      </c>
      <c r="D173" t="str">
        <f t="shared" si="3"/>
        <v>July</v>
      </c>
      <c r="E173" t="str">
        <f t="shared" ref="E173:E427" si="7">"Week"&amp;ROUNDUP(DAY(B173)/7,0)</f>
        <v>Week5</v>
      </c>
      <c r="F173" t="s">
        <v>1084</v>
      </c>
      <c r="G173" t="s">
        <v>1010</v>
      </c>
      <c r="H173">
        <v>17360</v>
      </c>
      <c r="I173" t="s">
        <v>1028</v>
      </c>
      <c r="J173" t="s">
        <v>1030</v>
      </c>
      <c r="K173" t="s">
        <v>1031</v>
      </c>
    </row>
    <row r="174" spans="1:11" x14ac:dyDescent="0.25">
      <c r="A174" t="s">
        <v>173</v>
      </c>
      <c r="B174" s="1">
        <v>45509</v>
      </c>
      <c r="C174">
        <f t="shared" si="5"/>
        <v>2024</v>
      </c>
      <c r="D174" t="str">
        <f t="shared" si="3"/>
        <v>August</v>
      </c>
      <c r="E174" t="str">
        <f t="shared" si="7"/>
        <v>Week1</v>
      </c>
      <c r="F174" t="s">
        <v>1085</v>
      </c>
      <c r="G174" t="s">
        <v>1199</v>
      </c>
      <c r="H174">
        <v>20000</v>
      </c>
      <c r="I174" t="s">
        <v>1027</v>
      </c>
      <c r="J174" t="s">
        <v>1030</v>
      </c>
      <c r="K174" t="s">
        <v>1031</v>
      </c>
    </row>
    <row r="175" spans="1:11" x14ac:dyDescent="0.25">
      <c r="A175" t="s">
        <v>174</v>
      </c>
      <c r="B175" s="1">
        <v>45509</v>
      </c>
      <c r="C175">
        <f t="shared" si="5"/>
        <v>2024</v>
      </c>
      <c r="D175" t="str">
        <f t="shared" si="3"/>
        <v>August</v>
      </c>
      <c r="E175" t="str">
        <f t="shared" si="7"/>
        <v>Week1</v>
      </c>
      <c r="F175" t="s">
        <v>1079</v>
      </c>
      <c r="G175" t="s">
        <v>1199</v>
      </c>
      <c r="H175">
        <v>18000</v>
      </c>
      <c r="I175" t="s">
        <v>1027</v>
      </c>
      <c r="J175" t="s">
        <v>1030</v>
      </c>
      <c r="K175" t="s">
        <v>1031</v>
      </c>
    </row>
    <row r="176" spans="1:11" x14ac:dyDescent="0.25">
      <c r="A176" t="s">
        <v>175</v>
      </c>
      <c r="B176" s="1">
        <v>45510</v>
      </c>
      <c r="C176">
        <f t="shared" si="5"/>
        <v>2024</v>
      </c>
      <c r="D176" t="str">
        <f t="shared" si="3"/>
        <v>August</v>
      </c>
      <c r="E176" t="str">
        <f t="shared" si="7"/>
        <v>Week1</v>
      </c>
      <c r="F176" t="s">
        <v>1025</v>
      </c>
      <c r="G176" t="s">
        <v>1014</v>
      </c>
      <c r="H176">
        <v>5000</v>
      </c>
      <c r="I176" t="s">
        <v>1027</v>
      </c>
      <c r="J176" t="s">
        <v>1030</v>
      </c>
      <c r="K176" t="s">
        <v>1031</v>
      </c>
    </row>
    <row r="177" spans="1:11" x14ac:dyDescent="0.25">
      <c r="A177" t="s">
        <v>176</v>
      </c>
      <c r="B177" s="1">
        <v>45506</v>
      </c>
      <c r="C177">
        <f t="shared" si="5"/>
        <v>2024</v>
      </c>
      <c r="D177" t="str">
        <f t="shared" si="3"/>
        <v>August</v>
      </c>
      <c r="E177" t="str">
        <f t="shared" si="7"/>
        <v>Week1</v>
      </c>
      <c r="F177" t="s">
        <v>1033</v>
      </c>
      <c r="G177" t="s">
        <v>1014</v>
      </c>
      <c r="H177">
        <v>78770</v>
      </c>
      <c r="I177" t="s">
        <v>1028</v>
      </c>
      <c r="J177" t="s">
        <v>1030</v>
      </c>
      <c r="K177" t="s">
        <v>1031</v>
      </c>
    </row>
    <row r="178" spans="1:11" x14ac:dyDescent="0.25">
      <c r="A178" t="s">
        <v>177</v>
      </c>
      <c r="B178" s="1">
        <v>45516</v>
      </c>
      <c r="C178">
        <f t="shared" si="5"/>
        <v>2024</v>
      </c>
      <c r="D178" t="str">
        <f t="shared" si="3"/>
        <v>August</v>
      </c>
      <c r="E178" t="str">
        <f t="shared" si="7"/>
        <v>Week2</v>
      </c>
      <c r="F178" t="s">
        <v>1035</v>
      </c>
      <c r="G178" t="s">
        <v>1197</v>
      </c>
      <c r="H178">
        <v>11000</v>
      </c>
      <c r="I178" t="s">
        <v>1027</v>
      </c>
      <c r="J178" t="s">
        <v>1030</v>
      </c>
      <c r="K178" t="s">
        <v>1031</v>
      </c>
    </row>
    <row r="179" spans="1:11" x14ac:dyDescent="0.25">
      <c r="A179" t="s">
        <v>178</v>
      </c>
      <c r="B179" s="1">
        <v>45516</v>
      </c>
      <c r="C179">
        <f t="shared" si="5"/>
        <v>2024</v>
      </c>
      <c r="D179" t="str">
        <f t="shared" si="3"/>
        <v>August</v>
      </c>
      <c r="E179" t="str">
        <f t="shared" si="7"/>
        <v>Week2</v>
      </c>
      <c r="F179" t="s">
        <v>1086</v>
      </c>
      <c r="G179" t="s">
        <v>1011</v>
      </c>
      <c r="H179">
        <v>25000</v>
      </c>
      <c r="I179" t="s">
        <v>1027</v>
      </c>
      <c r="J179" t="s">
        <v>1030</v>
      </c>
      <c r="K179" t="s">
        <v>1031</v>
      </c>
    </row>
    <row r="180" spans="1:11" x14ac:dyDescent="0.25">
      <c r="A180" t="s">
        <v>179</v>
      </c>
      <c r="B180" s="1">
        <v>45518</v>
      </c>
      <c r="C180">
        <f t="shared" si="5"/>
        <v>2024</v>
      </c>
      <c r="D180" t="str">
        <f t="shared" si="3"/>
        <v>August</v>
      </c>
      <c r="E180" t="str">
        <f t="shared" si="7"/>
        <v>Week2</v>
      </c>
      <c r="F180" t="s">
        <v>1083</v>
      </c>
      <c r="G180" t="s">
        <v>1011</v>
      </c>
      <c r="H180">
        <v>20000</v>
      </c>
      <c r="I180" t="s">
        <v>1027</v>
      </c>
      <c r="J180" t="s">
        <v>1030</v>
      </c>
      <c r="K180" t="s">
        <v>1031</v>
      </c>
    </row>
    <row r="181" spans="1:11" x14ac:dyDescent="0.25">
      <c r="A181" t="s">
        <v>180</v>
      </c>
      <c r="B181" s="1">
        <v>45516</v>
      </c>
      <c r="C181">
        <f t="shared" si="5"/>
        <v>2024</v>
      </c>
      <c r="D181" t="str">
        <f t="shared" si="3"/>
        <v>August</v>
      </c>
      <c r="E181" t="str">
        <f t="shared" si="7"/>
        <v>Week2</v>
      </c>
      <c r="F181" t="s">
        <v>1087</v>
      </c>
      <c r="G181" t="s">
        <v>1199</v>
      </c>
      <c r="H181">
        <v>20000</v>
      </c>
      <c r="I181" t="s">
        <v>1027</v>
      </c>
      <c r="J181" t="s">
        <v>1030</v>
      </c>
      <c r="K181" t="s">
        <v>1031</v>
      </c>
    </row>
    <row r="182" spans="1:11" x14ac:dyDescent="0.25">
      <c r="A182" t="s">
        <v>181</v>
      </c>
      <c r="B182" s="1">
        <v>45516</v>
      </c>
      <c r="C182">
        <f t="shared" si="5"/>
        <v>2024</v>
      </c>
      <c r="D182" t="str">
        <f t="shared" si="3"/>
        <v>August</v>
      </c>
      <c r="E182" t="str">
        <f t="shared" si="7"/>
        <v>Week2</v>
      </c>
      <c r="F182" t="s">
        <v>1065</v>
      </c>
      <c r="G182" t="s">
        <v>1011</v>
      </c>
      <c r="H182">
        <v>25000</v>
      </c>
      <c r="I182" t="s">
        <v>1028</v>
      </c>
      <c r="J182" t="s">
        <v>1030</v>
      </c>
      <c r="K182" t="s">
        <v>1031</v>
      </c>
    </row>
    <row r="183" spans="1:11" x14ac:dyDescent="0.25">
      <c r="A183" t="s">
        <v>182</v>
      </c>
      <c r="B183" s="1">
        <v>45518</v>
      </c>
      <c r="C183">
        <f t="shared" si="5"/>
        <v>2024</v>
      </c>
      <c r="D183" t="str">
        <f t="shared" si="3"/>
        <v>August</v>
      </c>
      <c r="E183" t="str">
        <f t="shared" si="7"/>
        <v>Week2</v>
      </c>
      <c r="F183" t="s">
        <v>1065</v>
      </c>
      <c r="G183" t="s">
        <v>1011</v>
      </c>
      <c r="H183">
        <v>18000</v>
      </c>
      <c r="I183" t="s">
        <v>1027</v>
      </c>
      <c r="J183" t="s">
        <v>1030</v>
      </c>
      <c r="K183" t="s">
        <v>1031</v>
      </c>
    </row>
    <row r="184" spans="1:11" x14ac:dyDescent="0.25">
      <c r="A184" t="s">
        <v>183</v>
      </c>
      <c r="B184" s="1">
        <v>45520</v>
      </c>
      <c r="C184">
        <f t="shared" si="5"/>
        <v>2024</v>
      </c>
      <c r="D184" t="str">
        <f t="shared" si="3"/>
        <v>August</v>
      </c>
      <c r="E184" t="str">
        <f t="shared" si="7"/>
        <v>Week3</v>
      </c>
      <c r="F184" t="s">
        <v>1018</v>
      </c>
      <c r="G184" t="s">
        <v>1013</v>
      </c>
      <c r="H184">
        <v>1000</v>
      </c>
      <c r="I184" t="s">
        <v>1027</v>
      </c>
      <c r="J184" t="s">
        <v>1030</v>
      </c>
      <c r="K184" t="s">
        <v>1031</v>
      </c>
    </row>
    <row r="185" spans="1:11" x14ac:dyDescent="0.25">
      <c r="A185" t="s">
        <v>184</v>
      </c>
      <c r="B185" s="1">
        <v>45522</v>
      </c>
      <c r="C185">
        <f t="shared" si="5"/>
        <v>2024</v>
      </c>
      <c r="D185" t="str">
        <f t="shared" si="3"/>
        <v>August</v>
      </c>
      <c r="E185" t="str">
        <f t="shared" si="7"/>
        <v>Week3</v>
      </c>
      <c r="F185" t="s">
        <v>1018</v>
      </c>
      <c r="G185" t="s">
        <v>1013</v>
      </c>
      <c r="H185">
        <v>2000</v>
      </c>
      <c r="I185" t="s">
        <v>1027</v>
      </c>
      <c r="J185" t="s">
        <v>1030</v>
      </c>
      <c r="K185" t="s">
        <v>1031</v>
      </c>
    </row>
    <row r="186" spans="1:11" x14ac:dyDescent="0.25">
      <c r="A186" t="s">
        <v>185</v>
      </c>
      <c r="B186" s="1">
        <v>45523</v>
      </c>
      <c r="C186">
        <f t="shared" si="5"/>
        <v>2024</v>
      </c>
      <c r="D186" t="str">
        <f t="shared" si="3"/>
        <v>August</v>
      </c>
      <c r="E186" t="str">
        <f t="shared" si="7"/>
        <v>Week3</v>
      </c>
      <c r="F186" t="s">
        <v>1086</v>
      </c>
      <c r="G186" t="s">
        <v>1011</v>
      </c>
      <c r="H186">
        <v>25000</v>
      </c>
      <c r="I186" t="s">
        <v>1027</v>
      </c>
      <c r="J186" t="s">
        <v>1030</v>
      </c>
      <c r="K186" t="s">
        <v>1031</v>
      </c>
    </row>
    <row r="187" spans="1:11" x14ac:dyDescent="0.25">
      <c r="A187" t="s">
        <v>186</v>
      </c>
      <c r="B187" s="1">
        <v>45523</v>
      </c>
      <c r="C187">
        <f t="shared" si="5"/>
        <v>2024</v>
      </c>
      <c r="D187" t="str">
        <f t="shared" si="3"/>
        <v>August</v>
      </c>
      <c r="E187" t="str">
        <f t="shared" si="7"/>
        <v>Week3</v>
      </c>
      <c r="F187" t="s">
        <v>1019</v>
      </c>
      <c r="G187" t="s">
        <v>1197</v>
      </c>
      <c r="H187">
        <v>11000</v>
      </c>
      <c r="I187" t="s">
        <v>1027</v>
      </c>
      <c r="J187" t="s">
        <v>1030</v>
      </c>
      <c r="K187" t="s">
        <v>1031</v>
      </c>
    </row>
    <row r="188" spans="1:11" x14ac:dyDescent="0.25">
      <c r="A188" t="s">
        <v>187</v>
      </c>
      <c r="B188" s="1">
        <v>45525</v>
      </c>
      <c r="C188">
        <f t="shared" si="5"/>
        <v>2024</v>
      </c>
      <c r="D188" t="str">
        <f t="shared" si="3"/>
        <v>August</v>
      </c>
      <c r="E188" t="str">
        <f t="shared" si="7"/>
        <v>Week3</v>
      </c>
      <c r="F188" t="s">
        <v>1088</v>
      </c>
      <c r="G188" t="s">
        <v>1010</v>
      </c>
      <c r="H188">
        <v>20000</v>
      </c>
      <c r="I188" t="s">
        <v>1027</v>
      </c>
      <c r="J188" t="s">
        <v>1030</v>
      </c>
      <c r="K188" t="s">
        <v>1031</v>
      </c>
    </row>
    <row r="189" spans="1:11" x14ac:dyDescent="0.25">
      <c r="A189" t="s">
        <v>188</v>
      </c>
      <c r="B189" s="1">
        <v>45525</v>
      </c>
      <c r="C189">
        <f t="shared" si="5"/>
        <v>2024</v>
      </c>
      <c r="D189" t="str">
        <f t="shared" si="3"/>
        <v>August</v>
      </c>
      <c r="E189" t="str">
        <f t="shared" si="7"/>
        <v>Week3</v>
      </c>
      <c r="F189" t="s">
        <v>1089</v>
      </c>
      <c r="G189" t="s">
        <v>1198</v>
      </c>
      <c r="H189">
        <v>19000</v>
      </c>
      <c r="I189" t="s">
        <v>1029</v>
      </c>
      <c r="J189" t="s">
        <v>1030</v>
      </c>
      <c r="K189" t="s">
        <v>1031</v>
      </c>
    </row>
    <row r="190" spans="1:11" x14ac:dyDescent="0.25">
      <c r="A190" t="s">
        <v>189</v>
      </c>
      <c r="B190" s="1">
        <v>45526</v>
      </c>
      <c r="C190">
        <f t="shared" si="5"/>
        <v>2024</v>
      </c>
      <c r="D190" t="str">
        <f t="shared" si="3"/>
        <v>August</v>
      </c>
      <c r="E190" t="str">
        <f t="shared" si="7"/>
        <v>Week4</v>
      </c>
      <c r="F190" t="s">
        <v>1086</v>
      </c>
      <c r="G190" t="s">
        <v>1011</v>
      </c>
      <c r="H190">
        <v>18000</v>
      </c>
      <c r="I190" t="s">
        <v>1027</v>
      </c>
      <c r="J190" t="s">
        <v>1030</v>
      </c>
      <c r="K190" t="s">
        <v>1031</v>
      </c>
    </row>
    <row r="191" spans="1:11" x14ac:dyDescent="0.25">
      <c r="A191" t="s">
        <v>190</v>
      </c>
      <c r="B191" s="1">
        <v>45530</v>
      </c>
      <c r="C191">
        <f t="shared" si="5"/>
        <v>2024</v>
      </c>
      <c r="D191" t="str">
        <f t="shared" si="3"/>
        <v>August</v>
      </c>
      <c r="E191" t="str">
        <f t="shared" si="7"/>
        <v>Week4</v>
      </c>
      <c r="F191" t="s">
        <v>1090</v>
      </c>
      <c r="G191" t="s">
        <v>1010</v>
      </c>
      <c r="H191">
        <v>4500</v>
      </c>
      <c r="I191" t="s">
        <v>1029</v>
      </c>
      <c r="J191" t="s">
        <v>1030</v>
      </c>
      <c r="K191" t="s">
        <v>1031</v>
      </c>
    </row>
    <row r="192" spans="1:11" x14ac:dyDescent="0.25">
      <c r="A192" t="s">
        <v>191</v>
      </c>
      <c r="B192" s="1">
        <v>45530</v>
      </c>
      <c r="C192">
        <f t="shared" si="5"/>
        <v>2024</v>
      </c>
      <c r="D192" t="str">
        <f t="shared" si="3"/>
        <v>August</v>
      </c>
      <c r="E192" t="str">
        <f t="shared" si="7"/>
        <v>Week4</v>
      </c>
      <c r="F192" t="s">
        <v>1091</v>
      </c>
      <c r="G192" t="s">
        <v>1010</v>
      </c>
      <c r="H192">
        <v>2500</v>
      </c>
      <c r="I192" t="s">
        <v>1029</v>
      </c>
      <c r="J192" t="s">
        <v>1030</v>
      </c>
      <c r="K192" t="s">
        <v>1031</v>
      </c>
    </row>
    <row r="193" spans="1:11" x14ac:dyDescent="0.25">
      <c r="A193" t="s">
        <v>192</v>
      </c>
      <c r="B193" s="1">
        <v>45530</v>
      </c>
      <c r="C193">
        <f t="shared" si="5"/>
        <v>2024</v>
      </c>
      <c r="D193" t="str">
        <f t="shared" si="3"/>
        <v>August</v>
      </c>
      <c r="E193" t="str">
        <f t="shared" si="7"/>
        <v>Week4</v>
      </c>
      <c r="F193" t="s">
        <v>1065</v>
      </c>
      <c r="G193" t="s">
        <v>1011</v>
      </c>
      <c r="H193">
        <v>25000</v>
      </c>
      <c r="I193" t="s">
        <v>1027</v>
      </c>
      <c r="J193" t="s">
        <v>1030</v>
      </c>
      <c r="K193" t="s">
        <v>1031</v>
      </c>
    </row>
    <row r="194" spans="1:11" x14ac:dyDescent="0.25">
      <c r="A194" t="s">
        <v>193</v>
      </c>
      <c r="B194" s="1">
        <v>45530</v>
      </c>
      <c r="C194">
        <f t="shared" si="5"/>
        <v>2024</v>
      </c>
      <c r="D194" t="str">
        <f t="shared" si="3"/>
        <v>August</v>
      </c>
      <c r="E194" t="str">
        <f t="shared" si="7"/>
        <v>Week4</v>
      </c>
      <c r="F194" t="s">
        <v>1035</v>
      </c>
      <c r="G194" t="s">
        <v>1197</v>
      </c>
      <c r="H194">
        <v>11000</v>
      </c>
      <c r="I194" t="s">
        <v>1027</v>
      </c>
      <c r="J194" t="s">
        <v>1030</v>
      </c>
      <c r="K194" t="s">
        <v>1031</v>
      </c>
    </row>
    <row r="195" spans="1:11" x14ac:dyDescent="0.25">
      <c r="A195" t="s">
        <v>194</v>
      </c>
      <c r="B195" s="1">
        <v>45531</v>
      </c>
      <c r="C195">
        <f t="shared" si="5"/>
        <v>2024</v>
      </c>
      <c r="D195" t="str">
        <f t="shared" si="3"/>
        <v>August</v>
      </c>
      <c r="E195" t="str">
        <f t="shared" si="7"/>
        <v>Week4</v>
      </c>
      <c r="F195" t="s">
        <v>1092</v>
      </c>
      <c r="G195" t="s">
        <v>1010</v>
      </c>
      <c r="H195">
        <v>2000</v>
      </c>
      <c r="I195" t="s">
        <v>1029</v>
      </c>
      <c r="J195" t="s">
        <v>1030</v>
      </c>
      <c r="K195" t="s">
        <v>1031</v>
      </c>
    </row>
    <row r="196" spans="1:11" x14ac:dyDescent="0.25">
      <c r="A196" t="s">
        <v>195</v>
      </c>
      <c r="B196" s="1">
        <v>45532</v>
      </c>
      <c r="C196">
        <f t="shared" si="5"/>
        <v>2024</v>
      </c>
      <c r="D196" t="str">
        <f t="shared" si="3"/>
        <v>August</v>
      </c>
      <c r="E196" t="str">
        <f t="shared" si="7"/>
        <v>Week4</v>
      </c>
      <c r="F196" t="s">
        <v>1093</v>
      </c>
      <c r="G196" t="s">
        <v>1011</v>
      </c>
      <c r="H196">
        <v>20000</v>
      </c>
      <c r="I196" t="s">
        <v>1027</v>
      </c>
      <c r="J196" t="s">
        <v>1030</v>
      </c>
      <c r="K196" t="s">
        <v>1031</v>
      </c>
    </row>
    <row r="197" spans="1:11" x14ac:dyDescent="0.25">
      <c r="A197" t="s">
        <v>196</v>
      </c>
      <c r="B197" s="1">
        <v>45533</v>
      </c>
      <c r="C197">
        <f t="shared" si="5"/>
        <v>2024</v>
      </c>
      <c r="D197" t="str">
        <f t="shared" si="3"/>
        <v>August</v>
      </c>
      <c r="E197" t="str">
        <f t="shared" si="7"/>
        <v>Week5</v>
      </c>
      <c r="F197" t="s">
        <v>1023</v>
      </c>
      <c r="G197" t="s">
        <v>1201</v>
      </c>
      <c r="H197">
        <v>7000</v>
      </c>
      <c r="I197" t="s">
        <v>1029</v>
      </c>
      <c r="J197" t="s">
        <v>1030</v>
      </c>
      <c r="K197" t="s">
        <v>1031</v>
      </c>
    </row>
    <row r="198" spans="1:11" x14ac:dyDescent="0.25">
      <c r="A198" t="s">
        <v>197</v>
      </c>
      <c r="B198" s="1">
        <v>45533</v>
      </c>
      <c r="C198">
        <f t="shared" si="5"/>
        <v>2024</v>
      </c>
      <c r="D198" t="str">
        <f t="shared" si="3"/>
        <v>August</v>
      </c>
      <c r="E198" t="str">
        <f t="shared" si="7"/>
        <v>Week5</v>
      </c>
      <c r="F198" t="s">
        <v>1065</v>
      </c>
      <c r="G198" t="s">
        <v>1011</v>
      </c>
      <c r="H198">
        <v>22000</v>
      </c>
      <c r="I198" t="s">
        <v>1027</v>
      </c>
      <c r="J198" t="s">
        <v>1030</v>
      </c>
      <c r="K198" t="s">
        <v>1031</v>
      </c>
    </row>
    <row r="199" spans="1:11" x14ac:dyDescent="0.25">
      <c r="A199" t="s">
        <v>198</v>
      </c>
      <c r="B199" s="1">
        <v>45533</v>
      </c>
      <c r="C199">
        <f t="shared" si="5"/>
        <v>2024</v>
      </c>
      <c r="D199" t="str">
        <f t="shared" si="3"/>
        <v>August</v>
      </c>
      <c r="E199" t="str">
        <f t="shared" si="7"/>
        <v>Week5</v>
      </c>
      <c r="F199" t="s">
        <v>1086</v>
      </c>
      <c r="G199" t="s">
        <v>1011</v>
      </c>
      <c r="H199">
        <v>21000</v>
      </c>
      <c r="I199" t="s">
        <v>1029</v>
      </c>
      <c r="J199" t="s">
        <v>1030</v>
      </c>
      <c r="K199" t="s">
        <v>1031</v>
      </c>
    </row>
    <row r="200" spans="1:11" x14ac:dyDescent="0.25">
      <c r="A200" t="s">
        <v>199</v>
      </c>
      <c r="B200" s="1">
        <v>45507</v>
      </c>
      <c r="C200">
        <f t="shared" ref="C200:C454" si="8">YEAR(B200)</f>
        <v>2024</v>
      </c>
      <c r="D200" t="str">
        <f t="shared" si="3"/>
        <v>August</v>
      </c>
      <c r="E200" t="str">
        <f t="shared" si="7"/>
        <v>Week1</v>
      </c>
      <c r="F200" t="s">
        <v>1018</v>
      </c>
      <c r="G200" t="s">
        <v>1013</v>
      </c>
      <c r="H200">
        <v>5000</v>
      </c>
      <c r="I200" t="s">
        <v>1027</v>
      </c>
      <c r="J200" t="s">
        <v>1030</v>
      </c>
      <c r="K200" t="s">
        <v>1031</v>
      </c>
    </row>
    <row r="201" spans="1:11" x14ac:dyDescent="0.25">
      <c r="A201" t="s">
        <v>200</v>
      </c>
      <c r="B201" s="1">
        <v>45536</v>
      </c>
      <c r="C201">
        <f t="shared" si="8"/>
        <v>2024</v>
      </c>
      <c r="D201" t="str">
        <f t="shared" si="3"/>
        <v>September</v>
      </c>
      <c r="E201" t="str">
        <f t="shared" si="7"/>
        <v>Week1</v>
      </c>
      <c r="F201" t="s">
        <v>1018</v>
      </c>
      <c r="G201" t="s">
        <v>1013</v>
      </c>
      <c r="H201">
        <v>3000</v>
      </c>
      <c r="I201" t="s">
        <v>1027</v>
      </c>
      <c r="J201" t="s">
        <v>1030</v>
      </c>
      <c r="K201" t="s">
        <v>1031</v>
      </c>
    </row>
    <row r="202" spans="1:11" x14ac:dyDescent="0.25">
      <c r="A202" t="s">
        <v>201</v>
      </c>
      <c r="B202" s="1">
        <v>45538</v>
      </c>
      <c r="C202">
        <f t="shared" si="8"/>
        <v>2024</v>
      </c>
      <c r="D202" t="str">
        <f t="shared" si="3"/>
        <v>September</v>
      </c>
      <c r="E202" t="str">
        <f t="shared" si="7"/>
        <v>Week1</v>
      </c>
      <c r="F202" t="s">
        <v>1033</v>
      </c>
      <c r="G202" t="s">
        <v>1014</v>
      </c>
      <c r="H202">
        <v>76170</v>
      </c>
      <c r="I202" t="s">
        <v>1028</v>
      </c>
      <c r="J202" t="s">
        <v>1030</v>
      </c>
      <c r="K202" t="s">
        <v>1031</v>
      </c>
    </row>
    <row r="203" spans="1:11" x14ac:dyDescent="0.25">
      <c r="A203" t="s">
        <v>202</v>
      </c>
      <c r="B203" s="1">
        <v>45537</v>
      </c>
      <c r="C203">
        <f t="shared" si="8"/>
        <v>2024</v>
      </c>
      <c r="D203" t="str">
        <f t="shared" si="3"/>
        <v>September</v>
      </c>
      <c r="E203" t="str">
        <f t="shared" si="7"/>
        <v>Week1</v>
      </c>
      <c r="F203" t="s">
        <v>1065</v>
      </c>
      <c r="G203" t="s">
        <v>1011</v>
      </c>
      <c r="H203">
        <v>26000</v>
      </c>
      <c r="I203" t="s">
        <v>1027</v>
      </c>
      <c r="J203" t="s">
        <v>1030</v>
      </c>
      <c r="K203" t="s">
        <v>1031</v>
      </c>
    </row>
    <row r="204" spans="1:11" x14ac:dyDescent="0.25">
      <c r="A204" t="s">
        <v>203</v>
      </c>
      <c r="B204" s="1">
        <v>45537</v>
      </c>
      <c r="C204">
        <f t="shared" si="8"/>
        <v>2024</v>
      </c>
      <c r="D204" t="str">
        <f t="shared" si="3"/>
        <v>September</v>
      </c>
      <c r="E204" t="str">
        <f t="shared" si="7"/>
        <v>Week1</v>
      </c>
      <c r="F204" t="s">
        <v>1094</v>
      </c>
      <c r="G204" t="s">
        <v>1198</v>
      </c>
      <c r="H204">
        <v>5500</v>
      </c>
      <c r="I204" t="s">
        <v>1029</v>
      </c>
      <c r="J204" t="s">
        <v>1030</v>
      </c>
      <c r="K204" t="s">
        <v>1031</v>
      </c>
    </row>
    <row r="205" spans="1:11" x14ac:dyDescent="0.25">
      <c r="A205" t="s">
        <v>204</v>
      </c>
      <c r="B205" s="1">
        <v>45537</v>
      </c>
      <c r="C205">
        <f t="shared" si="8"/>
        <v>2024</v>
      </c>
      <c r="D205" t="str">
        <f t="shared" si="3"/>
        <v>September</v>
      </c>
      <c r="E205" t="str">
        <f t="shared" si="7"/>
        <v>Week1</v>
      </c>
      <c r="F205" t="s">
        <v>1086</v>
      </c>
      <c r="G205" t="s">
        <v>1011</v>
      </c>
      <c r="H205">
        <v>25000</v>
      </c>
      <c r="I205" t="s">
        <v>1027</v>
      </c>
      <c r="J205" t="s">
        <v>1030</v>
      </c>
      <c r="K205" t="s">
        <v>1031</v>
      </c>
    </row>
    <row r="206" spans="1:11" x14ac:dyDescent="0.25">
      <c r="A206" t="s">
        <v>205</v>
      </c>
      <c r="B206" s="1">
        <v>45537</v>
      </c>
      <c r="C206">
        <f t="shared" si="8"/>
        <v>2024</v>
      </c>
      <c r="D206" t="str">
        <f t="shared" si="3"/>
        <v>September</v>
      </c>
      <c r="E206" t="str">
        <f t="shared" si="7"/>
        <v>Week1</v>
      </c>
      <c r="F206" t="s">
        <v>1049</v>
      </c>
      <c r="G206" t="s">
        <v>1199</v>
      </c>
      <c r="H206">
        <v>20000</v>
      </c>
      <c r="I206" t="s">
        <v>1027</v>
      </c>
      <c r="J206" t="s">
        <v>1030</v>
      </c>
      <c r="K206" t="s">
        <v>1031</v>
      </c>
    </row>
    <row r="207" spans="1:11" x14ac:dyDescent="0.25">
      <c r="A207" t="s">
        <v>206</v>
      </c>
      <c r="B207" s="1">
        <v>45537</v>
      </c>
      <c r="C207">
        <f t="shared" si="8"/>
        <v>2024</v>
      </c>
      <c r="D207" t="str">
        <f t="shared" si="3"/>
        <v>September</v>
      </c>
      <c r="E207" t="str">
        <f t="shared" si="7"/>
        <v>Week1</v>
      </c>
      <c r="F207" t="s">
        <v>1035</v>
      </c>
      <c r="G207" t="s">
        <v>1197</v>
      </c>
      <c r="H207">
        <v>11000</v>
      </c>
      <c r="I207" t="s">
        <v>1027</v>
      </c>
      <c r="J207" t="s">
        <v>1030</v>
      </c>
      <c r="K207" t="s">
        <v>1031</v>
      </c>
    </row>
    <row r="208" spans="1:11" x14ac:dyDescent="0.25">
      <c r="A208" t="s">
        <v>207</v>
      </c>
      <c r="B208" s="1">
        <v>45537</v>
      </c>
      <c r="C208">
        <f t="shared" si="8"/>
        <v>2024</v>
      </c>
      <c r="D208" t="str">
        <f t="shared" si="3"/>
        <v>September</v>
      </c>
      <c r="E208" t="str">
        <f t="shared" si="7"/>
        <v>Week1</v>
      </c>
      <c r="F208" t="s">
        <v>1025</v>
      </c>
      <c r="G208" t="s">
        <v>1014</v>
      </c>
      <c r="H208">
        <v>5000</v>
      </c>
      <c r="I208" t="s">
        <v>1027</v>
      </c>
      <c r="J208" t="s">
        <v>1030</v>
      </c>
      <c r="K208" t="s">
        <v>1031</v>
      </c>
    </row>
    <row r="209" spans="1:11" x14ac:dyDescent="0.25">
      <c r="A209" t="s">
        <v>208</v>
      </c>
      <c r="B209" s="1">
        <v>45538</v>
      </c>
      <c r="C209">
        <f t="shared" si="8"/>
        <v>2024</v>
      </c>
      <c r="D209" t="str">
        <f t="shared" si="3"/>
        <v>September</v>
      </c>
      <c r="E209" t="str">
        <f t="shared" si="7"/>
        <v>Week1</v>
      </c>
      <c r="F209" t="s">
        <v>1095</v>
      </c>
      <c r="G209" t="s">
        <v>1010</v>
      </c>
      <c r="H209">
        <v>12000</v>
      </c>
      <c r="I209" t="s">
        <v>1027</v>
      </c>
      <c r="J209" t="s">
        <v>1030</v>
      </c>
      <c r="K209" t="s">
        <v>1031</v>
      </c>
    </row>
    <row r="210" spans="1:11" x14ac:dyDescent="0.25">
      <c r="A210" t="s">
        <v>209</v>
      </c>
      <c r="B210" s="1">
        <v>45538</v>
      </c>
      <c r="C210">
        <f t="shared" si="8"/>
        <v>2024</v>
      </c>
      <c r="D210" t="str">
        <f t="shared" si="3"/>
        <v>September</v>
      </c>
      <c r="E210" t="str">
        <f t="shared" si="7"/>
        <v>Week1</v>
      </c>
      <c r="F210" t="s">
        <v>1096</v>
      </c>
      <c r="G210" t="s">
        <v>1015</v>
      </c>
      <c r="H210">
        <v>3500</v>
      </c>
      <c r="I210" t="s">
        <v>1029</v>
      </c>
      <c r="J210" t="s">
        <v>1030</v>
      </c>
      <c r="K210" t="s">
        <v>1031</v>
      </c>
    </row>
    <row r="211" spans="1:11" x14ac:dyDescent="0.25">
      <c r="A211" t="s">
        <v>210</v>
      </c>
      <c r="B211" s="1">
        <v>45539</v>
      </c>
      <c r="C211">
        <f t="shared" si="8"/>
        <v>2024</v>
      </c>
      <c r="D211" t="str">
        <f t="shared" si="3"/>
        <v>September</v>
      </c>
      <c r="E211" t="str">
        <f t="shared" si="7"/>
        <v>Week1</v>
      </c>
      <c r="F211" t="s">
        <v>1097</v>
      </c>
      <c r="G211" t="s">
        <v>1010</v>
      </c>
      <c r="H211">
        <v>10000</v>
      </c>
      <c r="I211" t="s">
        <v>1027</v>
      </c>
      <c r="J211" t="s">
        <v>1030</v>
      </c>
      <c r="K211" t="s">
        <v>1031</v>
      </c>
    </row>
    <row r="212" spans="1:11" x14ac:dyDescent="0.25">
      <c r="A212" t="s">
        <v>211</v>
      </c>
      <c r="B212" s="1">
        <v>45539</v>
      </c>
      <c r="C212">
        <f t="shared" si="8"/>
        <v>2024</v>
      </c>
      <c r="D212" t="str">
        <f t="shared" si="3"/>
        <v>September</v>
      </c>
      <c r="E212" t="str">
        <f t="shared" si="7"/>
        <v>Week1</v>
      </c>
      <c r="F212" t="s">
        <v>1093</v>
      </c>
      <c r="G212" t="s">
        <v>1011</v>
      </c>
      <c r="H212">
        <v>22000</v>
      </c>
      <c r="I212" t="s">
        <v>1027</v>
      </c>
      <c r="J212" t="s">
        <v>1030</v>
      </c>
      <c r="K212" t="s">
        <v>1031</v>
      </c>
    </row>
    <row r="213" spans="1:11" x14ac:dyDescent="0.25">
      <c r="A213" t="s">
        <v>212</v>
      </c>
      <c r="B213" s="1">
        <v>45540</v>
      </c>
      <c r="C213">
        <f t="shared" si="8"/>
        <v>2024</v>
      </c>
      <c r="D213" t="str">
        <f t="shared" si="3"/>
        <v>September</v>
      </c>
      <c r="E213" t="str">
        <f t="shared" si="7"/>
        <v>Week1</v>
      </c>
      <c r="F213" t="s">
        <v>1086</v>
      </c>
      <c r="G213" t="s">
        <v>1011</v>
      </c>
      <c r="H213">
        <v>25000</v>
      </c>
      <c r="I213" t="s">
        <v>1027</v>
      </c>
      <c r="J213" t="s">
        <v>1030</v>
      </c>
      <c r="K213" t="s">
        <v>1031</v>
      </c>
    </row>
    <row r="214" spans="1:11" x14ac:dyDescent="0.25">
      <c r="A214" t="s">
        <v>213</v>
      </c>
      <c r="B214" s="1">
        <v>45540</v>
      </c>
      <c r="C214">
        <f t="shared" si="8"/>
        <v>2024</v>
      </c>
      <c r="D214" t="str">
        <f t="shared" si="3"/>
        <v>September</v>
      </c>
      <c r="E214" t="str">
        <f t="shared" si="7"/>
        <v>Week1</v>
      </c>
      <c r="F214" t="s">
        <v>1065</v>
      </c>
      <c r="G214" t="s">
        <v>1011</v>
      </c>
      <c r="H214">
        <v>25000</v>
      </c>
      <c r="I214" t="s">
        <v>1027</v>
      </c>
      <c r="J214" t="s">
        <v>1030</v>
      </c>
      <c r="K214" t="s">
        <v>1031</v>
      </c>
    </row>
    <row r="215" spans="1:11" x14ac:dyDescent="0.25">
      <c r="A215" t="s">
        <v>214</v>
      </c>
      <c r="B215" s="1">
        <v>45541</v>
      </c>
      <c r="C215">
        <f t="shared" si="8"/>
        <v>2024</v>
      </c>
      <c r="D215" t="str">
        <f t="shared" si="3"/>
        <v>September</v>
      </c>
      <c r="E215" t="str">
        <f t="shared" si="7"/>
        <v>Week1</v>
      </c>
      <c r="F215" t="s">
        <v>1098</v>
      </c>
      <c r="G215" t="s">
        <v>1015</v>
      </c>
      <c r="H215">
        <v>3000</v>
      </c>
      <c r="I215" t="s">
        <v>1027</v>
      </c>
      <c r="J215" t="s">
        <v>1030</v>
      </c>
      <c r="K215" t="s">
        <v>1031</v>
      </c>
    </row>
    <row r="216" spans="1:11" x14ac:dyDescent="0.25">
      <c r="A216" t="s">
        <v>215</v>
      </c>
      <c r="B216" s="1">
        <v>45544</v>
      </c>
      <c r="C216">
        <f t="shared" si="8"/>
        <v>2024</v>
      </c>
      <c r="D216" t="str">
        <f t="shared" si="3"/>
        <v>September</v>
      </c>
      <c r="E216" t="str">
        <f t="shared" si="7"/>
        <v>Week2</v>
      </c>
      <c r="F216" t="s">
        <v>1086</v>
      </c>
      <c r="G216" t="s">
        <v>1011</v>
      </c>
      <c r="H216">
        <v>25000</v>
      </c>
      <c r="I216" t="s">
        <v>1028</v>
      </c>
      <c r="J216" t="s">
        <v>1030</v>
      </c>
      <c r="K216" t="s">
        <v>1031</v>
      </c>
    </row>
    <row r="217" spans="1:11" x14ac:dyDescent="0.25">
      <c r="A217" t="s">
        <v>216</v>
      </c>
      <c r="B217" s="1">
        <v>45544</v>
      </c>
      <c r="C217">
        <f t="shared" si="8"/>
        <v>2024</v>
      </c>
      <c r="D217" t="str">
        <f t="shared" si="3"/>
        <v>September</v>
      </c>
      <c r="E217" t="str">
        <f t="shared" si="7"/>
        <v>Week2</v>
      </c>
      <c r="F217" t="s">
        <v>1037</v>
      </c>
      <c r="G217" t="s">
        <v>1199</v>
      </c>
      <c r="H217">
        <v>20000</v>
      </c>
      <c r="I217" t="s">
        <v>1027</v>
      </c>
      <c r="J217" t="s">
        <v>1030</v>
      </c>
      <c r="K217" t="s">
        <v>1031</v>
      </c>
    </row>
    <row r="218" spans="1:11" x14ac:dyDescent="0.25">
      <c r="A218" t="s">
        <v>217</v>
      </c>
      <c r="B218" s="1">
        <v>45544</v>
      </c>
      <c r="C218">
        <f t="shared" si="8"/>
        <v>2024</v>
      </c>
      <c r="D218" t="str">
        <f t="shared" si="3"/>
        <v>September</v>
      </c>
      <c r="E218" t="str">
        <f t="shared" si="7"/>
        <v>Week2</v>
      </c>
      <c r="F218" t="s">
        <v>1040</v>
      </c>
      <c r="G218" t="s">
        <v>1199</v>
      </c>
      <c r="H218">
        <v>20000</v>
      </c>
      <c r="I218" t="s">
        <v>1027</v>
      </c>
      <c r="J218" t="s">
        <v>1030</v>
      </c>
      <c r="K218" t="s">
        <v>1031</v>
      </c>
    </row>
    <row r="219" spans="1:11" x14ac:dyDescent="0.25">
      <c r="A219" t="s">
        <v>218</v>
      </c>
      <c r="B219" s="1">
        <v>45544</v>
      </c>
      <c r="C219">
        <f t="shared" si="8"/>
        <v>2024</v>
      </c>
      <c r="D219" t="str">
        <f t="shared" si="3"/>
        <v>September</v>
      </c>
      <c r="E219" t="str">
        <f t="shared" si="7"/>
        <v>Week2</v>
      </c>
      <c r="F219" t="s">
        <v>1035</v>
      </c>
      <c r="G219" t="s">
        <v>1197</v>
      </c>
      <c r="H219">
        <v>11000</v>
      </c>
      <c r="I219" t="s">
        <v>1027</v>
      </c>
      <c r="J219" t="s">
        <v>1030</v>
      </c>
      <c r="K219" t="s">
        <v>1031</v>
      </c>
    </row>
    <row r="220" spans="1:11" x14ac:dyDescent="0.25">
      <c r="A220" t="s">
        <v>219</v>
      </c>
      <c r="B220" s="1">
        <v>45546</v>
      </c>
      <c r="C220">
        <f t="shared" si="8"/>
        <v>2024</v>
      </c>
      <c r="D220" t="str">
        <f t="shared" si="3"/>
        <v>September</v>
      </c>
      <c r="E220" t="str">
        <f t="shared" si="7"/>
        <v>Week2</v>
      </c>
      <c r="F220" t="s">
        <v>1093</v>
      </c>
      <c r="G220" t="s">
        <v>1011</v>
      </c>
      <c r="H220">
        <v>22000</v>
      </c>
      <c r="I220" t="s">
        <v>1027</v>
      </c>
      <c r="J220" t="s">
        <v>1030</v>
      </c>
      <c r="K220" t="s">
        <v>1031</v>
      </c>
    </row>
    <row r="221" spans="1:11" x14ac:dyDescent="0.25">
      <c r="A221" t="s">
        <v>220</v>
      </c>
      <c r="B221" s="1">
        <v>45546</v>
      </c>
      <c r="C221">
        <f t="shared" si="8"/>
        <v>2024</v>
      </c>
      <c r="D221" t="str">
        <f t="shared" si="3"/>
        <v>September</v>
      </c>
      <c r="E221" t="str">
        <f t="shared" si="7"/>
        <v>Week2</v>
      </c>
      <c r="F221" t="s">
        <v>1065</v>
      </c>
      <c r="G221" t="s">
        <v>1011</v>
      </c>
      <c r="H221">
        <v>35000</v>
      </c>
      <c r="I221" t="s">
        <v>1028</v>
      </c>
      <c r="J221" t="s">
        <v>1030</v>
      </c>
      <c r="K221" t="s">
        <v>1031</v>
      </c>
    </row>
    <row r="222" spans="1:11" x14ac:dyDescent="0.25">
      <c r="A222" t="s">
        <v>221</v>
      </c>
      <c r="B222" s="1">
        <v>45546</v>
      </c>
      <c r="C222">
        <f t="shared" si="8"/>
        <v>2024</v>
      </c>
      <c r="D222" t="str">
        <f t="shared" si="3"/>
        <v>September</v>
      </c>
      <c r="E222" t="str">
        <f t="shared" si="7"/>
        <v>Week2</v>
      </c>
      <c r="F222" t="s">
        <v>1018</v>
      </c>
      <c r="G222" t="s">
        <v>1013</v>
      </c>
      <c r="H222">
        <v>3000</v>
      </c>
      <c r="I222" t="s">
        <v>1027</v>
      </c>
      <c r="J222" t="s">
        <v>1030</v>
      </c>
      <c r="K222" t="s">
        <v>1031</v>
      </c>
    </row>
    <row r="223" spans="1:11" x14ac:dyDescent="0.25">
      <c r="A223" t="s">
        <v>222</v>
      </c>
      <c r="B223" s="1">
        <v>45546</v>
      </c>
      <c r="C223">
        <f t="shared" si="8"/>
        <v>2024</v>
      </c>
      <c r="D223" t="str">
        <f t="shared" si="3"/>
        <v>September</v>
      </c>
      <c r="E223" t="str">
        <f t="shared" si="7"/>
        <v>Week2</v>
      </c>
      <c r="F223" t="s">
        <v>1018</v>
      </c>
      <c r="G223" t="s">
        <v>1013</v>
      </c>
      <c r="H223">
        <v>3000</v>
      </c>
      <c r="I223" t="s">
        <v>1027</v>
      </c>
      <c r="J223" t="s">
        <v>1030</v>
      </c>
      <c r="K223" t="s">
        <v>1031</v>
      </c>
    </row>
    <row r="224" spans="1:11" x14ac:dyDescent="0.25">
      <c r="A224" t="s">
        <v>223</v>
      </c>
      <c r="B224" s="1">
        <v>45548</v>
      </c>
      <c r="C224">
        <f t="shared" si="8"/>
        <v>2024</v>
      </c>
      <c r="D224" t="str">
        <f t="shared" si="3"/>
        <v>September</v>
      </c>
      <c r="E224" t="str">
        <f t="shared" si="7"/>
        <v>Week2</v>
      </c>
      <c r="F224" t="s">
        <v>1086</v>
      </c>
      <c r="G224" t="s">
        <v>1011</v>
      </c>
      <c r="H224">
        <v>27000</v>
      </c>
      <c r="I224" t="s">
        <v>1028</v>
      </c>
      <c r="J224" t="s">
        <v>1030</v>
      </c>
      <c r="K224" t="s">
        <v>1031</v>
      </c>
    </row>
    <row r="225" spans="1:11" x14ac:dyDescent="0.25">
      <c r="A225" t="s">
        <v>224</v>
      </c>
      <c r="B225" s="1">
        <v>45544</v>
      </c>
      <c r="C225">
        <f t="shared" si="8"/>
        <v>2024</v>
      </c>
      <c r="D225" t="str">
        <f t="shared" si="3"/>
        <v>September</v>
      </c>
      <c r="E225" t="str">
        <f t="shared" si="7"/>
        <v>Week2</v>
      </c>
      <c r="F225" t="s">
        <v>1065</v>
      </c>
      <c r="G225" t="s">
        <v>1011</v>
      </c>
      <c r="H225">
        <v>30000</v>
      </c>
      <c r="I225" t="s">
        <v>1027</v>
      </c>
      <c r="J225" t="s">
        <v>1030</v>
      </c>
      <c r="K225" t="s">
        <v>1031</v>
      </c>
    </row>
    <row r="226" spans="1:11" x14ac:dyDescent="0.25">
      <c r="A226" t="s">
        <v>225</v>
      </c>
      <c r="B226" s="1">
        <v>45548</v>
      </c>
      <c r="C226">
        <f t="shared" si="8"/>
        <v>2024</v>
      </c>
      <c r="D226" t="str">
        <f t="shared" si="3"/>
        <v>September</v>
      </c>
      <c r="E226" t="str">
        <f t="shared" si="7"/>
        <v>Week2</v>
      </c>
      <c r="F226" t="s">
        <v>1099</v>
      </c>
      <c r="G226" t="s">
        <v>1198</v>
      </c>
      <c r="H226">
        <v>25000</v>
      </c>
      <c r="I226" t="s">
        <v>1027</v>
      </c>
      <c r="J226" t="s">
        <v>1030</v>
      </c>
      <c r="K226" t="s">
        <v>1031</v>
      </c>
    </row>
    <row r="227" spans="1:11" x14ac:dyDescent="0.25">
      <c r="A227" t="s">
        <v>226</v>
      </c>
      <c r="B227" s="1">
        <v>45544</v>
      </c>
      <c r="C227">
        <f t="shared" si="8"/>
        <v>2024</v>
      </c>
      <c r="D227" t="str">
        <f t="shared" si="3"/>
        <v>September</v>
      </c>
      <c r="E227" t="str">
        <f t="shared" si="7"/>
        <v>Week2</v>
      </c>
      <c r="F227" t="s">
        <v>1025</v>
      </c>
      <c r="G227" t="s">
        <v>1014</v>
      </c>
      <c r="H227">
        <v>5000</v>
      </c>
      <c r="I227" t="s">
        <v>1027</v>
      </c>
      <c r="J227" t="s">
        <v>1030</v>
      </c>
      <c r="K227" t="s">
        <v>1031</v>
      </c>
    </row>
    <row r="228" spans="1:11" x14ac:dyDescent="0.25">
      <c r="A228" t="s">
        <v>227</v>
      </c>
      <c r="B228" s="1">
        <v>45552</v>
      </c>
      <c r="C228">
        <f t="shared" si="8"/>
        <v>2024</v>
      </c>
      <c r="D228" t="str">
        <f t="shared" si="3"/>
        <v>September</v>
      </c>
      <c r="E228" t="str">
        <f t="shared" si="7"/>
        <v>Week3</v>
      </c>
      <c r="F228" t="s">
        <v>1065</v>
      </c>
      <c r="G228" t="s">
        <v>1011</v>
      </c>
      <c r="H228">
        <v>30000</v>
      </c>
      <c r="I228" t="s">
        <v>1028</v>
      </c>
      <c r="J228" t="s">
        <v>1030</v>
      </c>
      <c r="K228" t="s">
        <v>1031</v>
      </c>
    </row>
    <row r="229" spans="1:11" x14ac:dyDescent="0.25">
      <c r="A229" t="s">
        <v>228</v>
      </c>
      <c r="B229" s="1">
        <v>45554</v>
      </c>
      <c r="C229">
        <f t="shared" si="8"/>
        <v>2024</v>
      </c>
      <c r="D229" t="str">
        <f t="shared" si="3"/>
        <v>September</v>
      </c>
      <c r="E229" t="str">
        <f t="shared" si="7"/>
        <v>Week3</v>
      </c>
      <c r="F229" t="s">
        <v>1065</v>
      </c>
      <c r="G229" t="s">
        <v>1011</v>
      </c>
      <c r="H229">
        <v>30000</v>
      </c>
      <c r="I229" t="s">
        <v>1028</v>
      </c>
      <c r="J229" t="s">
        <v>1030</v>
      </c>
      <c r="K229" t="s">
        <v>1031</v>
      </c>
    </row>
    <row r="230" spans="1:11" x14ac:dyDescent="0.25">
      <c r="A230" t="s">
        <v>229</v>
      </c>
      <c r="B230" s="1">
        <v>45552</v>
      </c>
      <c r="C230">
        <f t="shared" si="8"/>
        <v>2024</v>
      </c>
      <c r="D230" t="str">
        <f t="shared" si="3"/>
        <v>September</v>
      </c>
      <c r="E230" t="str">
        <f t="shared" si="7"/>
        <v>Week3</v>
      </c>
      <c r="F230" t="s">
        <v>1035</v>
      </c>
      <c r="G230" t="s">
        <v>1197</v>
      </c>
      <c r="H230">
        <v>11000</v>
      </c>
      <c r="I230" t="s">
        <v>1027</v>
      </c>
      <c r="J230" t="s">
        <v>1030</v>
      </c>
      <c r="K230" t="s">
        <v>1031</v>
      </c>
    </row>
    <row r="231" spans="1:11" x14ac:dyDescent="0.25">
      <c r="A231" t="s">
        <v>230</v>
      </c>
      <c r="B231" s="1">
        <v>45552</v>
      </c>
      <c r="C231">
        <f t="shared" si="8"/>
        <v>2024</v>
      </c>
      <c r="D231" t="str">
        <f t="shared" si="3"/>
        <v>September</v>
      </c>
      <c r="E231" t="str">
        <f t="shared" si="7"/>
        <v>Week3</v>
      </c>
      <c r="F231" t="s">
        <v>1086</v>
      </c>
      <c r="G231" t="s">
        <v>1011</v>
      </c>
      <c r="H231">
        <v>27000</v>
      </c>
      <c r="I231" t="s">
        <v>1027</v>
      </c>
      <c r="J231" t="s">
        <v>1030</v>
      </c>
      <c r="K231" t="s">
        <v>1031</v>
      </c>
    </row>
    <row r="232" spans="1:11" x14ac:dyDescent="0.25">
      <c r="A232" t="s">
        <v>231</v>
      </c>
      <c r="B232" s="1">
        <v>45554</v>
      </c>
      <c r="C232">
        <f t="shared" si="8"/>
        <v>2024</v>
      </c>
      <c r="D232" t="str">
        <f t="shared" si="3"/>
        <v>September</v>
      </c>
      <c r="E232" t="str">
        <f t="shared" si="7"/>
        <v>Week3</v>
      </c>
      <c r="F232" t="s">
        <v>1100</v>
      </c>
      <c r="G232" t="s">
        <v>1010</v>
      </c>
      <c r="H232">
        <v>20000</v>
      </c>
      <c r="I232" t="s">
        <v>1027</v>
      </c>
      <c r="J232" t="s">
        <v>1030</v>
      </c>
      <c r="K232" t="s">
        <v>1031</v>
      </c>
    </row>
    <row r="233" spans="1:11" x14ac:dyDescent="0.25">
      <c r="A233" t="s">
        <v>232</v>
      </c>
      <c r="B233" s="1">
        <v>45554</v>
      </c>
      <c r="C233">
        <f t="shared" si="8"/>
        <v>2024</v>
      </c>
      <c r="D233" t="str">
        <f t="shared" si="3"/>
        <v>September</v>
      </c>
      <c r="E233" t="str">
        <f t="shared" si="7"/>
        <v>Week3</v>
      </c>
      <c r="F233" t="s">
        <v>1101</v>
      </c>
      <c r="G233" t="s">
        <v>1198</v>
      </c>
      <c r="H233">
        <v>65000</v>
      </c>
      <c r="I233" t="s">
        <v>1027</v>
      </c>
      <c r="J233" t="s">
        <v>1030</v>
      </c>
      <c r="K233" t="s">
        <v>1031</v>
      </c>
    </row>
    <row r="234" spans="1:11" x14ac:dyDescent="0.25">
      <c r="A234" t="s">
        <v>233</v>
      </c>
      <c r="B234" s="1">
        <v>45555</v>
      </c>
      <c r="C234">
        <f t="shared" si="8"/>
        <v>2024</v>
      </c>
      <c r="D234" t="str">
        <f t="shared" si="3"/>
        <v>September</v>
      </c>
      <c r="E234" t="str">
        <f t="shared" si="7"/>
        <v>Week3</v>
      </c>
      <c r="F234" t="s">
        <v>1086</v>
      </c>
      <c r="G234" t="s">
        <v>1011</v>
      </c>
      <c r="H234">
        <v>22000</v>
      </c>
      <c r="I234" t="s">
        <v>1027</v>
      </c>
      <c r="J234" t="s">
        <v>1030</v>
      </c>
      <c r="K234" t="s">
        <v>1031</v>
      </c>
    </row>
    <row r="235" spans="1:11" x14ac:dyDescent="0.25">
      <c r="A235" t="s">
        <v>234</v>
      </c>
      <c r="B235" s="1">
        <v>45559</v>
      </c>
      <c r="C235">
        <f t="shared" si="8"/>
        <v>2024</v>
      </c>
      <c r="D235" t="str">
        <f t="shared" si="3"/>
        <v>September</v>
      </c>
      <c r="E235" t="str">
        <f t="shared" si="7"/>
        <v>Week4</v>
      </c>
      <c r="F235" t="s">
        <v>1045</v>
      </c>
      <c r="G235" t="s">
        <v>1197</v>
      </c>
      <c r="H235">
        <v>64000</v>
      </c>
      <c r="I235" t="s">
        <v>1027</v>
      </c>
      <c r="J235" t="s">
        <v>1030</v>
      </c>
      <c r="K235" t="s">
        <v>1031</v>
      </c>
    </row>
    <row r="236" spans="1:11" x14ac:dyDescent="0.25">
      <c r="A236" t="s">
        <v>235</v>
      </c>
      <c r="B236" s="1">
        <v>45558</v>
      </c>
      <c r="C236">
        <f t="shared" si="8"/>
        <v>2024</v>
      </c>
      <c r="D236" t="str">
        <f t="shared" si="3"/>
        <v>September</v>
      </c>
      <c r="E236" t="str">
        <f t="shared" si="7"/>
        <v>Week4</v>
      </c>
      <c r="F236" t="s">
        <v>1065</v>
      </c>
      <c r="G236" t="s">
        <v>1011</v>
      </c>
      <c r="H236">
        <v>35000</v>
      </c>
      <c r="I236" t="s">
        <v>1027</v>
      </c>
      <c r="J236" t="s">
        <v>1030</v>
      </c>
      <c r="K236" t="s">
        <v>1031</v>
      </c>
    </row>
    <row r="237" spans="1:11" x14ac:dyDescent="0.25">
      <c r="A237" t="s">
        <v>236</v>
      </c>
      <c r="B237" s="1">
        <v>45559</v>
      </c>
      <c r="C237">
        <f t="shared" si="8"/>
        <v>2024</v>
      </c>
      <c r="D237" t="str">
        <f t="shared" si="3"/>
        <v>September</v>
      </c>
      <c r="E237" t="str">
        <f t="shared" si="7"/>
        <v>Week4</v>
      </c>
      <c r="F237" t="s">
        <v>1086</v>
      </c>
      <c r="G237" t="s">
        <v>1011</v>
      </c>
      <c r="H237">
        <v>25000</v>
      </c>
      <c r="I237" t="s">
        <v>1027</v>
      </c>
      <c r="J237" t="s">
        <v>1030</v>
      </c>
      <c r="K237" t="s">
        <v>1031</v>
      </c>
    </row>
    <row r="238" spans="1:11" x14ac:dyDescent="0.25">
      <c r="A238" t="s">
        <v>237</v>
      </c>
      <c r="B238" s="1">
        <v>45559</v>
      </c>
      <c r="C238">
        <f t="shared" si="8"/>
        <v>2024</v>
      </c>
      <c r="D238" t="str">
        <f t="shared" si="3"/>
        <v>September</v>
      </c>
      <c r="E238" t="str">
        <f t="shared" si="7"/>
        <v>Week4</v>
      </c>
      <c r="F238" t="s">
        <v>1046</v>
      </c>
      <c r="G238" t="s">
        <v>1014</v>
      </c>
      <c r="H238">
        <v>3900</v>
      </c>
      <c r="I238" t="s">
        <v>1028</v>
      </c>
      <c r="J238" t="s">
        <v>1030</v>
      </c>
      <c r="K238" t="s">
        <v>1031</v>
      </c>
    </row>
    <row r="239" spans="1:11" x14ac:dyDescent="0.25">
      <c r="A239" t="s">
        <v>238</v>
      </c>
      <c r="B239" s="1">
        <v>45560</v>
      </c>
      <c r="C239">
        <f t="shared" si="8"/>
        <v>2024</v>
      </c>
      <c r="D239" t="str">
        <f t="shared" si="3"/>
        <v>September</v>
      </c>
      <c r="E239" t="str">
        <f t="shared" si="7"/>
        <v>Week4</v>
      </c>
      <c r="F239" t="s">
        <v>1071</v>
      </c>
      <c r="G239" t="s">
        <v>1012</v>
      </c>
      <c r="H239">
        <v>37700</v>
      </c>
      <c r="I239" t="s">
        <v>1028</v>
      </c>
      <c r="J239" t="s">
        <v>1030</v>
      </c>
      <c r="K239" t="s">
        <v>1031</v>
      </c>
    </row>
    <row r="240" spans="1:11" x14ac:dyDescent="0.25">
      <c r="A240" t="s">
        <v>239</v>
      </c>
      <c r="B240" s="1">
        <v>45561</v>
      </c>
      <c r="C240">
        <f t="shared" si="8"/>
        <v>2024</v>
      </c>
      <c r="D240" t="str">
        <f t="shared" si="3"/>
        <v>September</v>
      </c>
      <c r="E240" t="str">
        <f t="shared" si="7"/>
        <v>Week4</v>
      </c>
      <c r="F240" t="s">
        <v>1065</v>
      </c>
      <c r="G240" t="s">
        <v>1011</v>
      </c>
      <c r="H240">
        <v>27000</v>
      </c>
      <c r="I240" t="s">
        <v>1027</v>
      </c>
      <c r="J240" t="s">
        <v>1030</v>
      </c>
      <c r="K240" t="s">
        <v>1031</v>
      </c>
    </row>
    <row r="241" spans="1:11" x14ac:dyDescent="0.25">
      <c r="A241" t="s">
        <v>240</v>
      </c>
      <c r="B241" s="1">
        <v>45561</v>
      </c>
      <c r="C241">
        <f t="shared" si="8"/>
        <v>2024</v>
      </c>
      <c r="D241" t="str">
        <f t="shared" si="3"/>
        <v>September</v>
      </c>
      <c r="E241" t="str">
        <f t="shared" si="7"/>
        <v>Week4</v>
      </c>
      <c r="F241" t="s">
        <v>1025</v>
      </c>
      <c r="G241" t="s">
        <v>1014</v>
      </c>
      <c r="H241">
        <v>5000</v>
      </c>
      <c r="I241" t="s">
        <v>1027</v>
      </c>
      <c r="J241" t="s">
        <v>1030</v>
      </c>
      <c r="K241" t="s">
        <v>1031</v>
      </c>
    </row>
    <row r="242" spans="1:11" x14ac:dyDescent="0.25">
      <c r="A242" t="s">
        <v>241</v>
      </c>
      <c r="B242" s="1">
        <v>45561</v>
      </c>
      <c r="C242">
        <f t="shared" si="8"/>
        <v>2024</v>
      </c>
      <c r="D242" t="str">
        <f t="shared" si="3"/>
        <v>September</v>
      </c>
      <c r="E242" t="str">
        <f t="shared" si="7"/>
        <v>Week4</v>
      </c>
      <c r="F242" t="s">
        <v>1018</v>
      </c>
      <c r="G242" t="s">
        <v>1013</v>
      </c>
      <c r="H242">
        <v>5000</v>
      </c>
      <c r="I242" t="s">
        <v>1027</v>
      </c>
      <c r="J242" t="s">
        <v>1030</v>
      </c>
      <c r="K242" t="s">
        <v>1031</v>
      </c>
    </row>
    <row r="243" spans="1:11" x14ac:dyDescent="0.25">
      <c r="A243" t="s">
        <v>242</v>
      </c>
      <c r="B243" s="1">
        <v>45562</v>
      </c>
      <c r="C243">
        <f t="shared" si="8"/>
        <v>2024</v>
      </c>
      <c r="D243" t="str">
        <f t="shared" si="3"/>
        <v>September</v>
      </c>
      <c r="E243" t="str">
        <f t="shared" si="7"/>
        <v>Week4</v>
      </c>
      <c r="F243" t="s">
        <v>1023</v>
      </c>
      <c r="G243" t="s">
        <v>1201</v>
      </c>
      <c r="H243">
        <v>7000</v>
      </c>
      <c r="I243" t="s">
        <v>1029</v>
      </c>
      <c r="J243" t="s">
        <v>1030</v>
      </c>
      <c r="K243" t="s">
        <v>1031</v>
      </c>
    </row>
    <row r="244" spans="1:11" x14ac:dyDescent="0.25">
      <c r="A244" t="s">
        <v>243</v>
      </c>
      <c r="B244" s="1">
        <v>45565</v>
      </c>
      <c r="C244">
        <f t="shared" si="8"/>
        <v>2024</v>
      </c>
      <c r="D244" t="str">
        <f t="shared" si="3"/>
        <v>September</v>
      </c>
      <c r="E244" t="str">
        <f t="shared" si="7"/>
        <v>Week5</v>
      </c>
      <c r="F244" t="s">
        <v>1018</v>
      </c>
      <c r="G244" t="s">
        <v>1013</v>
      </c>
      <c r="H244">
        <v>8000</v>
      </c>
      <c r="I244" t="s">
        <v>1027</v>
      </c>
      <c r="J244" t="s">
        <v>1030</v>
      </c>
      <c r="K244" t="s">
        <v>1031</v>
      </c>
    </row>
    <row r="245" spans="1:11" x14ac:dyDescent="0.25">
      <c r="A245" t="s">
        <v>244</v>
      </c>
      <c r="B245" s="1">
        <v>45565</v>
      </c>
      <c r="C245">
        <f t="shared" si="8"/>
        <v>2024</v>
      </c>
      <c r="D245" t="str">
        <f t="shared" si="3"/>
        <v>September</v>
      </c>
      <c r="E245" t="str">
        <f t="shared" si="7"/>
        <v>Week5</v>
      </c>
      <c r="F245" t="s">
        <v>1065</v>
      </c>
      <c r="G245" t="s">
        <v>1011</v>
      </c>
      <c r="H245">
        <v>35000</v>
      </c>
      <c r="I245" t="s">
        <v>1027</v>
      </c>
      <c r="J245" t="s">
        <v>1030</v>
      </c>
      <c r="K245" t="s">
        <v>1031</v>
      </c>
    </row>
    <row r="246" spans="1:11" x14ac:dyDescent="0.25">
      <c r="A246" t="s">
        <v>245</v>
      </c>
      <c r="B246" s="1">
        <v>45567</v>
      </c>
      <c r="C246">
        <f t="shared" si="8"/>
        <v>2024</v>
      </c>
      <c r="D246" t="str">
        <f t="shared" si="3"/>
        <v>October</v>
      </c>
      <c r="E246" t="str">
        <f t="shared" si="7"/>
        <v>Week1</v>
      </c>
      <c r="F246" t="s">
        <v>1086</v>
      </c>
      <c r="G246" t="s">
        <v>1011</v>
      </c>
      <c r="H246">
        <v>25000</v>
      </c>
      <c r="I246" t="s">
        <v>1027</v>
      </c>
      <c r="J246" t="s">
        <v>1030</v>
      </c>
      <c r="K246" t="s">
        <v>1031</v>
      </c>
    </row>
    <row r="247" spans="1:11" x14ac:dyDescent="0.25">
      <c r="A247" t="s">
        <v>246</v>
      </c>
      <c r="B247" s="1">
        <v>45565</v>
      </c>
      <c r="C247">
        <f t="shared" si="8"/>
        <v>2024</v>
      </c>
      <c r="D247" t="str">
        <f t="shared" si="3"/>
        <v>September</v>
      </c>
      <c r="E247" t="str">
        <f t="shared" si="7"/>
        <v>Week5</v>
      </c>
      <c r="F247" t="s">
        <v>1093</v>
      </c>
      <c r="G247" t="s">
        <v>1011</v>
      </c>
      <c r="H247">
        <v>24000</v>
      </c>
      <c r="I247" t="s">
        <v>1027</v>
      </c>
      <c r="J247" t="s">
        <v>1030</v>
      </c>
      <c r="K247" t="s">
        <v>1031</v>
      </c>
    </row>
    <row r="248" spans="1:11" x14ac:dyDescent="0.25">
      <c r="A248" t="s">
        <v>247</v>
      </c>
      <c r="B248" s="1">
        <v>45568</v>
      </c>
      <c r="C248">
        <f t="shared" si="8"/>
        <v>2024</v>
      </c>
      <c r="D248" t="str">
        <f t="shared" si="3"/>
        <v>October</v>
      </c>
      <c r="E248" t="str">
        <f t="shared" si="7"/>
        <v>Week1</v>
      </c>
      <c r="F248" t="s">
        <v>1065</v>
      </c>
      <c r="G248" t="s">
        <v>1011</v>
      </c>
      <c r="H248">
        <v>20000</v>
      </c>
      <c r="I248" t="s">
        <v>1028</v>
      </c>
      <c r="J248" t="s">
        <v>1030</v>
      </c>
      <c r="K248" t="s">
        <v>1031</v>
      </c>
    </row>
    <row r="249" spans="1:11" x14ac:dyDescent="0.25">
      <c r="A249" t="s">
        <v>248</v>
      </c>
      <c r="B249" s="1">
        <v>45568</v>
      </c>
      <c r="C249">
        <f t="shared" si="8"/>
        <v>2024</v>
      </c>
      <c r="D249" t="str">
        <f t="shared" si="3"/>
        <v>October</v>
      </c>
      <c r="E249" t="str">
        <f t="shared" si="7"/>
        <v>Week1</v>
      </c>
      <c r="F249" t="s">
        <v>1049</v>
      </c>
      <c r="G249" t="s">
        <v>1199</v>
      </c>
      <c r="H249">
        <v>20000</v>
      </c>
      <c r="I249" t="s">
        <v>1027</v>
      </c>
      <c r="J249" t="s">
        <v>1030</v>
      </c>
      <c r="K249" t="s">
        <v>1031</v>
      </c>
    </row>
    <row r="250" spans="1:11" x14ac:dyDescent="0.25">
      <c r="A250" t="s">
        <v>249</v>
      </c>
      <c r="B250" s="1">
        <v>45568</v>
      </c>
      <c r="C250">
        <f t="shared" si="8"/>
        <v>2024</v>
      </c>
      <c r="D250" t="str">
        <f t="shared" si="3"/>
        <v>October</v>
      </c>
      <c r="E250" t="str">
        <f t="shared" si="7"/>
        <v>Week1</v>
      </c>
      <c r="F250" t="s">
        <v>1033</v>
      </c>
      <c r="G250" t="s">
        <v>1014</v>
      </c>
      <c r="H250">
        <v>86630</v>
      </c>
      <c r="I250" t="s">
        <v>1028</v>
      </c>
      <c r="J250" t="s">
        <v>1030</v>
      </c>
      <c r="K250" t="s">
        <v>1031</v>
      </c>
    </row>
    <row r="251" spans="1:11" x14ac:dyDescent="0.25">
      <c r="A251" t="s">
        <v>250</v>
      </c>
      <c r="B251" s="1">
        <v>45569</v>
      </c>
      <c r="C251">
        <f t="shared" si="8"/>
        <v>2024</v>
      </c>
      <c r="D251" t="str">
        <f t="shared" si="3"/>
        <v>October</v>
      </c>
      <c r="E251" t="str">
        <f t="shared" si="7"/>
        <v>Week1</v>
      </c>
      <c r="F251" t="s">
        <v>1102</v>
      </c>
      <c r="G251" t="s">
        <v>1011</v>
      </c>
      <c r="H251">
        <v>22000</v>
      </c>
      <c r="I251" t="s">
        <v>1027</v>
      </c>
      <c r="J251" t="s">
        <v>1030</v>
      </c>
      <c r="K251" t="s">
        <v>1031</v>
      </c>
    </row>
    <row r="252" spans="1:11" x14ac:dyDescent="0.25">
      <c r="A252" t="s">
        <v>251</v>
      </c>
      <c r="B252" s="1">
        <v>45571</v>
      </c>
      <c r="C252">
        <f t="shared" si="8"/>
        <v>2024</v>
      </c>
      <c r="D252" t="str">
        <f t="shared" si="3"/>
        <v>October</v>
      </c>
      <c r="E252" t="str">
        <f t="shared" si="7"/>
        <v>Week1</v>
      </c>
      <c r="F252" t="s">
        <v>1018</v>
      </c>
      <c r="G252" t="s">
        <v>1013</v>
      </c>
      <c r="H252">
        <v>3000</v>
      </c>
      <c r="I252" t="s">
        <v>1027</v>
      </c>
      <c r="J252" t="s">
        <v>1030</v>
      </c>
      <c r="K252" t="s">
        <v>1031</v>
      </c>
    </row>
    <row r="253" spans="1:11" x14ac:dyDescent="0.25">
      <c r="A253" t="s">
        <v>252</v>
      </c>
      <c r="B253" s="1">
        <v>45565</v>
      </c>
      <c r="C253">
        <f t="shared" si="8"/>
        <v>2024</v>
      </c>
      <c r="D253" t="str">
        <f t="shared" si="3"/>
        <v>September</v>
      </c>
      <c r="E253" t="str">
        <f t="shared" si="7"/>
        <v>Week5</v>
      </c>
      <c r="F253" t="s">
        <v>1035</v>
      </c>
      <c r="G253" t="s">
        <v>1197</v>
      </c>
      <c r="H253">
        <v>11000</v>
      </c>
      <c r="I253" t="s">
        <v>1027</v>
      </c>
      <c r="J253" t="s">
        <v>1030</v>
      </c>
      <c r="K253" t="s">
        <v>1031</v>
      </c>
    </row>
    <row r="254" spans="1:11" x14ac:dyDescent="0.25">
      <c r="A254" t="s">
        <v>253</v>
      </c>
      <c r="B254" s="1">
        <v>45571</v>
      </c>
      <c r="C254">
        <f t="shared" si="8"/>
        <v>2024</v>
      </c>
      <c r="D254" t="str">
        <f t="shared" si="3"/>
        <v>October</v>
      </c>
      <c r="E254" t="str">
        <f t="shared" si="7"/>
        <v>Week1</v>
      </c>
      <c r="F254" t="s">
        <v>1035</v>
      </c>
      <c r="G254" t="s">
        <v>1197</v>
      </c>
      <c r="H254">
        <v>11000</v>
      </c>
      <c r="I254" t="s">
        <v>1027</v>
      </c>
      <c r="J254" t="s">
        <v>1030</v>
      </c>
      <c r="K254" t="s">
        <v>1031</v>
      </c>
    </row>
    <row r="255" spans="1:11" x14ac:dyDescent="0.25">
      <c r="A255" t="s">
        <v>254</v>
      </c>
      <c r="B255" s="1">
        <v>45572</v>
      </c>
      <c r="C255">
        <f t="shared" si="8"/>
        <v>2024</v>
      </c>
      <c r="D255" t="str">
        <f t="shared" si="3"/>
        <v>October</v>
      </c>
      <c r="E255" t="str">
        <f t="shared" si="7"/>
        <v>Week1</v>
      </c>
      <c r="F255" t="s">
        <v>1037</v>
      </c>
      <c r="G255" t="s">
        <v>1199</v>
      </c>
      <c r="H255">
        <v>20000</v>
      </c>
      <c r="I255" t="s">
        <v>1027</v>
      </c>
      <c r="J255" t="s">
        <v>1030</v>
      </c>
      <c r="K255" t="s">
        <v>1031</v>
      </c>
    </row>
    <row r="256" spans="1:11" x14ac:dyDescent="0.25">
      <c r="A256" t="s">
        <v>255</v>
      </c>
      <c r="B256" s="1">
        <v>45576</v>
      </c>
      <c r="C256">
        <f t="shared" si="8"/>
        <v>2024</v>
      </c>
      <c r="D256" t="str">
        <f t="shared" si="3"/>
        <v>October</v>
      </c>
      <c r="E256" t="str">
        <f t="shared" si="7"/>
        <v>Week2</v>
      </c>
      <c r="F256" t="s">
        <v>1103</v>
      </c>
      <c r="G256" t="s">
        <v>1015</v>
      </c>
      <c r="H256">
        <v>7000</v>
      </c>
      <c r="I256" t="s">
        <v>1027</v>
      </c>
      <c r="J256" t="s">
        <v>1030</v>
      </c>
      <c r="K256" t="s">
        <v>1031</v>
      </c>
    </row>
    <row r="257" spans="1:11" x14ac:dyDescent="0.25">
      <c r="A257" t="s">
        <v>256</v>
      </c>
      <c r="B257" s="1">
        <v>45573</v>
      </c>
      <c r="C257">
        <f t="shared" si="8"/>
        <v>2024</v>
      </c>
      <c r="D257" t="str">
        <f t="shared" si="3"/>
        <v>October</v>
      </c>
      <c r="E257" t="str">
        <f t="shared" si="7"/>
        <v>Week2</v>
      </c>
      <c r="F257" t="s">
        <v>1104</v>
      </c>
      <c r="G257" t="s">
        <v>1010</v>
      </c>
      <c r="H257">
        <v>7000</v>
      </c>
      <c r="I257" t="s">
        <v>1027</v>
      </c>
      <c r="J257" t="s">
        <v>1030</v>
      </c>
      <c r="K257" t="s">
        <v>1031</v>
      </c>
    </row>
    <row r="258" spans="1:11" x14ac:dyDescent="0.25">
      <c r="A258" t="s">
        <v>257</v>
      </c>
      <c r="B258" s="1">
        <v>45574</v>
      </c>
      <c r="C258">
        <f t="shared" si="8"/>
        <v>2024</v>
      </c>
      <c r="D258" t="str">
        <f t="shared" si="3"/>
        <v>October</v>
      </c>
      <c r="E258" t="str">
        <f t="shared" si="7"/>
        <v>Week2</v>
      </c>
      <c r="F258" t="s">
        <v>1040</v>
      </c>
      <c r="G258" t="s">
        <v>1199</v>
      </c>
      <c r="H258">
        <v>20000</v>
      </c>
      <c r="I258" t="s">
        <v>1027</v>
      </c>
      <c r="J258" t="s">
        <v>1030</v>
      </c>
      <c r="K258" t="s">
        <v>1031</v>
      </c>
    </row>
    <row r="259" spans="1:11" x14ac:dyDescent="0.25">
      <c r="A259" t="s">
        <v>258</v>
      </c>
      <c r="B259" s="1">
        <v>45579</v>
      </c>
      <c r="C259">
        <f t="shared" si="8"/>
        <v>2024</v>
      </c>
      <c r="D259" t="str">
        <f t="shared" si="3"/>
        <v>October</v>
      </c>
      <c r="E259" t="str">
        <f t="shared" si="7"/>
        <v>Week2</v>
      </c>
      <c r="F259" t="s">
        <v>1018</v>
      </c>
      <c r="G259" t="s">
        <v>1013</v>
      </c>
      <c r="H259">
        <v>2000</v>
      </c>
      <c r="I259" t="s">
        <v>1027</v>
      </c>
      <c r="J259" t="s">
        <v>1030</v>
      </c>
      <c r="K259" t="s">
        <v>1031</v>
      </c>
    </row>
    <row r="260" spans="1:11" x14ac:dyDescent="0.25">
      <c r="A260" t="s">
        <v>259</v>
      </c>
      <c r="B260" s="1">
        <v>45579</v>
      </c>
      <c r="C260">
        <f t="shared" si="8"/>
        <v>2024</v>
      </c>
      <c r="D260" t="str">
        <f t="shared" si="3"/>
        <v>October</v>
      </c>
      <c r="E260" t="str">
        <f t="shared" si="7"/>
        <v>Week2</v>
      </c>
      <c r="F260" t="s">
        <v>1065</v>
      </c>
      <c r="G260" t="s">
        <v>1011</v>
      </c>
      <c r="H260">
        <v>25000</v>
      </c>
      <c r="I260" t="s">
        <v>1027</v>
      </c>
      <c r="J260" t="s">
        <v>1030</v>
      </c>
      <c r="K260" t="s">
        <v>1031</v>
      </c>
    </row>
    <row r="261" spans="1:11" x14ac:dyDescent="0.25">
      <c r="A261" t="s">
        <v>260</v>
      </c>
      <c r="B261" s="1">
        <v>45579</v>
      </c>
      <c r="C261">
        <f t="shared" si="8"/>
        <v>2024</v>
      </c>
      <c r="D261" t="str">
        <f t="shared" si="3"/>
        <v>October</v>
      </c>
      <c r="E261" t="str">
        <f t="shared" si="7"/>
        <v>Week2</v>
      </c>
      <c r="F261" t="s">
        <v>1035</v>
      </c>
      <c r="G261" t="s">
        <v>1197</v>
      </c>
      <c r="H261">
        <v>11000</v>
      </c>
      <c r="I261" t="s">
        <v>1027</v>
      </c>
      <c r="J261" t="s">
        <v>1030</v>
      </c>
      <c r="K261" t="s">
        <v>1031</v>
      </c>
    </row>
    <row r="262" spans="1:11" x14ac:dyDescent="0.25">
      <c r="A262" t="s">
        <v>261</v>
      </c>
      <c r="B262" s="1">
        <v>45580</v>
      </c>
      <c r="C262">
        <f t="shared" si="8"/>
        <v>2024</v>
      </c>
      <c r="D262" t="str">
        <f t="shared" si="3"/>
        <v>October</v>
      </c>
      <c r="E262" t="str">
        <f t="shared" si="7"/>
        <v>Week3</v>
      </c>
      <c r="F262" t="s">
        <v>1021</v>
      </c>
      <c r="G262" t="s">
        <v>1010</v>
      </c>
      <c r="H262">
        <v>3000</v>
      </c>
      <c r="I262" t="s">
        <v>1029</v>
      </c>
      <c r="J262" t="s">
        <v>1030</v>
      </c>
      <c r="K262" t="s">
        <v>1031</v>
      </c>
    </row>
    <row r="263" spans="1:11" x14ac:dyDescent="0.25">
      <c r="A263" t="s">
        <v>262</v>
      </c>
      <c r="B263" s="1">
        <v>45582</v>
      </c>
      <c r="C263">
        <f t="shared" si="8"/>
        <v>2024</v>
      </c>
      <c r="D263" t="str">
        <f t="shared" si="3"/>
        <v>October</v>
      </c>
      <c r="E263" t="str">
        <f t="shared" si="7"/>
        <v>Week3</v>
      </c>
      <c r="F263" t="s">
        <v>1093</v>
      </c>
      <c r="G263" t="s">
        <v>1011</v>
      </c>
      <c r="H263">
        <v>24000</v>
      </c>
      <c r="I263" t="s">
        <v>1028</v>
      </c>
      <c r="J263" t="s">
        <v>1030</v>
      </c>
      <c r="K263" t="s">
        <v>1031</v>
      </c>
    </row>
    <row r="264" spans="1:11" x14ac:dyDescent="0.25">
      <c r="A264" t="s">
        <v>263</v>
      </c>
      <c r="B264" s="1">
        <v>45582</v>
      </c>
      <c r="C264">
        <f t="shared" si="8"/>
        <v>2024</v>
      </c>
      <c r="D264" t="str">
        <f t="shared" si="3"/>
        <v>October</v>
      </c>
      <c r="E264" t="str">
        <f t="shared" si="7"/>
        <v>Week3</v>
      </c>
      <c r="F264" t="s">
        <v>1065</v>
      </c>
      <c r="G264" t="s">
        <v>1011</v>
      </c>
      <c r="H264">
        <v>35000</v>
      </c>
      <c r="I264" t="s">
        <v>1027</v>
      </c>
      <c r="J264" t="s">
        <v>1030</v>
      </c>
      <c r="K264" t="s">
        <v>1031</v>
      </c>
    </row>
    <row r="265" spans="1:11" x14ac:dyDescent="0.25">
      <c r="A265" t="s">
        <v>264</v>
      </c>
      <c r="B265" s="1">
        <v>45583</v>
      </c>
      <c r="C265">
        <f t="shared" si="8"/>
        <v>2024</v>
      </c>
      <c r="D265" t="str">
        <f t="shared" si="3"/>
        <v>October</v>
      </c>
      <c r="E265" t="str">
        <f t="shared" si="7"/>
        <v>Week3</v>
      </c>
      <c r="F265" t="s">
        <v>1105</v>
      </c>
      <c r="G265" t="s">
        <v>1010</v>
      </c>
      <c r="H265">
        <v>6000</v>
      </c>
      <c r="I265" t="s">
        <v>1027</v>
      </c>
      <c r="J265" t="s">
        <v>1030</v>
      </c>
      <c r="K265" t="s">
        <v>1031</v>
      </c>
    </row>
    <row r="266" spans="1:11" x14ac:dyDescent="0.25">
      <c r="A266" t="s">
        <v>265</v>
      </c>
      <c r="B266" s="1">
        <v>45579</v>
      </c>
      <c r="C266">
        <f t="shared" si="8"/>
        <v>2024</v>
      </c>
      <c r="D266" t="str">
        <f t="shared" si="3"/>
        <v>October</v>
      </c>
      <c r="E266" t="str">
        <f t="shared" si="7"/>
        <v>Week2</v>
      </c>
      <c r="F266" t="s">
        <v>1025</v>
      </c>
      <c r="G266" t="s">
        <v>1014</v>
      </c>
      <c r="H266">
        <v>5000</v>
      </c>
      <c r="I266" t="s">
        <v>1027</v>
      </c>
      <c r="J266" t="s">
        <v>1030</v>
      </c>
      <c r="K266" t="s">
        <v>1031</v>
      </c>
    </row>
    <row r="267" spans="1:11" x14ac:dyDescent="0.25">
      <c r="A267" t="s">
        <v>266</v>
      </c>
      <c r="B267" s="1">
        <v>45586</v>
      </c>
      <c r="C267">
        <f t="shared" si="8"/>
        <v>2024</v>
      </c>
      <c r="D267" t="str">
        <f t="shared" si="3"/>
        <v>October</v>
      </c>
      <c r="E267" t="str">
        <f t="shared" si="7"/>
        <v>Week3</v>
      </c>
      <c r="F267" t="s">
        <v>1093</v>
      </c>
      <c r="G267" t="s">
        <v>1011</v>
      </c>
      <c r="H267">
        <v>25000</v>
      </c>
      <c r="I267" t="s">
        <v>1027</v>
      </c>
      <c r="J267" t="s">
        <v>1030</v>
      </c>
      <c r="K267" t="s">
        <v>1031</v>
      </c>
    </row>
    <row r="268" spans="1:11" x14ac:dyDescent="0.25">
      <c r="A268" t="s">
        <v>267</v>
      </c>
      <c r="B268" s="1">
        <v>45586</v>
      </c>
      <c r="C268">
        <f t="shared" si="8"/>
        <v>2024</v>
      </c>
      <c r="D268" t="str">
        <f t="shared" si="3"/>
        <v>October</v>
      </c>
      <c r="E268" t="str">
        <f t="shared" si="7"/>
        <v>Week3</v>
      </c>
      <c r="F268" t="s">
        <v>1035</v>
      </c>
      <c r="G268" t="s">
        <v>1197</v>
      </c>
      <c r="H268">
        <v>11000</v>
      </c>
      <c r="I268" t="s">
        <v>1027</v>
      </c>
      <c r="J268" t="s">
        <v>1030</v>
      </c>
      <c r="K268" t="s">
        <v>1031</v>
      </c>
    </row>
    <row r="269" spans="1:11" x14ac:dyDescent="0.25">
      <c r="A269" t="s">
        <v>268</v>
      </c>
      <c r="B269" s="1">
        <v>45586</v>
      </c>
      <c r="C269">
        <f t="shared" si="8"/>
        <v>2024</v>
      </c>
      <c r="D269" t="str">
        <f t="shared" si="3"/>
        <v>October</v>
      </c>
      <c r="E269" t="str">
        <f t="shared" si="7"/>
        <v>Week3</v>
      </c>
      <c r="F269" t="s">
        <v>1065</v>
      </c>
      <c r="G269" t="s">
        <v>1011</v>
      </c>
      <c r="H269">
        <v>35000</v>
      </c>
      <c r="I269" t="s">
        <v>1027</v>
      </c>
      <c r="J269" t="s">
        <v>1030</v>
      </c>
      <c r="K269" t="s">
        <v>1031</v>
      </c>
    </row>
    <row r="270" spans="1:11" x14ac:dyDescent="0.25">
      <c r="A270" t="s">
        <v>269</v>
      </c>
      <c r="B270" s="1">
        <v>45588</v>
      </c>
      <c r="C270">
        <f t="shared" si="8"/>
        <v>2024</v>
      </c>
      <c r="D270" t="str">
        <f t="shared" si="3"/>
        <v>October</v>
      </c>
      <c r="E270" t="str">
        <f t="shared" si="7"/>
        <v>Week4</v>
      </c>
      <c r="F270" t="s">
        <v>1106</v>
      </c>
      <c r="G270" t="s">
        <v>1010</v>
      </c>
      <c r="H270">
        <v>7000</v>
      </c>
      <c r="I270" t="s">
        <v>1027</v>
      </c>
      <c r="J270" t="s">
        <v>1030</v>
      </c>
      <c r="K270" t="s">
        <v>1031</v>
      </c>
    </row>
    <row r="271" spans="1:11" x14ac:dyDescent="0.25">
      <c r="A271" t="s">
        <v>270</v>
      </c>
      <c r="B271" s="1">
        <v>45589</v>
      </c>
      <c r="C271">
        <f t="shared" si="8"/>
        <v>2024</v>
      </c>
      <c r="D271" t="str">
        <f t="shared" si="3"/>
        <v>October</v>
      </c>
      <c r="E271" t="str">
        <f t="shared" si="7"/>
        <v>Week4</v>
      </c>
      <c r="F271" t="s">
        <v>1065</v>
      </c>
      <c r="G271" t="s">
        <v>1011</v>
      </c>
      <c r="H271">
        <v>25000</v>
      </c>
      <c r="I271" t="s">
        <v>1027</v>
      </c>
      <c r="J271" t="s">
        <v>1030</v>
      </c>
      <c r="K271" t="s">
        <v>1031</v>
      </c>
    </row>
    <row r="272" spans="1:11" x14ac:dyDescent="0.25">
      <c r="A272" t="s">
        <v>271</v>
      </c>
      <c r="B272" s="1">
        <v>45593</v>
      </c>
      <c r="C272">
        <f t="shared" si="8"/>
        <v>2024</v>
      </c>
      <c r="D272" t="str">
        <f t="shared" si="3"/>
        <v>October</v>
      </c>
      <c r="E272" t="str">
        <f t="shared" si="7"/>
        <v>Week4</v>
      </c>
      <c r="F272" t="s">
        <v>1065</v>
      </c>
      <c r="G272" t="s">
        <v>1011</v>
      </c>
      <c r="H272">
        <v>35000</v>
      </c>
      <c r="I272" t="s">
        <v>1028</v>
      </c>
      <c r="J272" t="s">
        <v>1030</v>
      </c>
      <c r="K272" t="s">
        <v>1031</v>
      </c>
    </row>
    <row r="273" spans="1:11" x14ac:dyDescent="0.25">
      <c r="A273" t="s">
        <v>272</v>
      </c>
      <c r="B273" s="1">
        <v>45593</v>
      </c>
      <c r="C273">
        <f t="shared" si="8"/>
        <v>2024</v>
      </c>
      <c r="D273" t="str">
        <f t="shared" si="3"/>
        <v>October</v>
      </c>
      <c r="E273" t="str">
        <f t="shared" si="7"/>
        <v>Week4</v>
      </c>
      <c r="F273" t="s">
        <v>1025</v>
      </c>
      <c r="G273" t="s">
        <v>1014</v>
      </c>
      <c r="H273">
        <v>5000</v>
      </c>
      <c r="I273" t="s">
        <v>1027</v>
      </c>
      <c r="J273" t="s">
        <v>1030</v>
      </c>
      <c r="K273" t="s">
        <v>1031</v>
      </c>
    </row>
    <row r="274" spans="1:11" x14ac:dyDescent="0.25">
      <c r="A274" t="s">
        <v>273</v>
      </c>
      <c r="B274" s="1">
        <v>45594</v>
      </c>
      <c r="C274">
        <f t="shared" si="8"/>
        <v>2024</v>
      </c>
      <c r="D274" t="str">
        <f t="shared" si="3"/>
        <v>October</v>
      </c>
      <c r="E274" t="str">
        <f t="shared" si="7"/>
        <v>Week5</v>
      </c>
      <c r="F274" t="s">
        <v>1093</v>
      </c>
      <c r="G274" t="s">
        <v>1011</v>
      </c>
      <c r="H274">
        <v>25000</v>
      </c>
      <c r="I274" t="s">
        <v>1027</v>
      </c>
      <c r="J274" t="s">
        <v>1030</v>
      </c>
      <c r="K274" t="s">
        <v>1031</v>
      </c>
    </row>
    <row r="275" spans="1:11" x14ac:dyDescent="0.25">
      <c r="A275" t="s">
        <v>274</v>
      </c>
      <c r="B275" s="1">
        <v>45594</v>
      </c>
      <c r="C275">
        <f t="shared" si="8"/>
        <v>2024</v>
      </c>
      <c r="D275" t="str">
        <f t="shared" si="3"/>
        <v>October</v>
      </c>
      <c r="E275" t="str">
        <f t="shared" si="7"/>
        <v>Week5</v>
      </c>
      <c r="F275" t="s">
        <v>1035</v>
      </c>
      <c r="G275" t="s">
        <v>1197</v>
      </c>
      <c r="H275">
        <v>11000</v>
      </c>
      <c r="I275" t="s">
        <v>1027</v>
      </c>
      <c r="J275" t="s">
        <v>1030</v>
      </c>
      <c r="K275" t="s">
        <v>1031</v>
      </c>
    </row>
    <row r="276" spans="1:11" x14ac:dyDescent="0.25">
      <c r="A276" t="s">
        <v>275</v>
      </c>
      <c r="B276" s="1">
        <v>45595</v>
      </c>
      <c r="C276">
        <f t="shared" si="8"/>
        <v>2024</v>
      </c>
      <c r="D276" t="str">
        <f t="shared" si="3"/>
        <v>October</v>
      </c>
      <c r="E276" t="str">
        <f t="shared" si="7"/>
        <v>Week5</v>
      </c>
      <c r="F276" t="s">
        <v>1018</v>
      </c>
      <c r="G276" t="s">
        <v>1013</v>
      </c>
      <c r="H276">
        <v>2000</v>
      </c>
      <c r="I276" t="s">
        <v>1027</v>
      </c>
      <c r="J276" t="s">
        <v>1030</v>
      </c>
      <c r="K276" t="s">
        <v>1031</v>
      </c>
    </row>
    <row r="277" spans="1:11" x14ac:dyDescent="0.25">
      <c r="A277" t="s">
        <v>276</v>
      </c>
      <c r="B277" s="1">
        <v>45595</v>
      </c>
      <c r="C277">
        <f t="shared" si="8"/>
        <v>2024</v>
      </c>
      <c r="D277" t="str">
        <f t="shared" si="3"/>
        <v>October</v>
      </c>
      <c r="E277" t="str">
        <f t="shared" si="7"/>
        <v>Week5</v>
      </c>
      <c r="F277" t="s">
        <v>1023</v>
      </c>
      <c r="G277" t="s">
        <v>1201</v>
      </c>
      <c r="H277">
        <v>7000</v>
      </c>
      <c r="I277" t="s">
        <v>1027</v>
      </c>
      <c r="J277" t="s">
        <v>1030</v>
      </c>
      <c r="K277" t="s">
        <v>1031</v>
      </c>
    </row>
    <row r="278" spans="1:11" x14ac:dyDescent="0.25">
      <c r="A278" t="s">
        <v>277</v>
      </c>
      <c r="B278" s="1">
        <v>45596</v>
      </c>
      <c r="C278">
        <f t="shared" si="8"/>
        <v>2024</v>
      </c>
      <c r="D278" t="str">
        <f t="shared" si="3"/>
        <v>October</v>
      </c>
      <c r="E278" t="str">
        <f t="shared" si="7"/>
        <v>Week5</v>
      </c>
      <c r="F278" t="s">
        <v>1102</v>
      </c>
      <c r="G278" t="s">
        <v>1011</v>
      </c>
      <c r="H278">
        <v>28000</v>
      </c>
      <c r="I278" t="s">
        <v>1027</v>
      </c>
      <c r="J278" t="s">
        <v>1030</v>
      </c>
      <c r="K278" t="s">
        <v>1031</v>
      </c>
    </row>
    <row r="279" spans="1:11" x14ac:dyDescent="0.25">
      <c r="A279" t="s">
        <v>278</v>
      </c>
      <c r="B279" s="1">
        <v>45596</v>
      </c>
      <c r="C279">
        <f t="shared" si="8"/>
        <v>2024</v>
      </c>
      <c r="D279" t="str">
        <f t="shared" si="3"/>
        <v>October</v>
      </c>
      <c r="E279" t="str">
        <f t="shared" si="7"/>
        <v>Week5</v>
      </c>
      <c r="F279" t="s">
        <v>1065</v>
      </c>
      <c r="G279" t="s">
        <v>1011</v>
      </c>
      <c r="H279">
        <v>25000</v>
      </c>
      <c r="I279" t="s">
        <v>1027</v>
      </c>
      <c r="J279" t="s">
        <v>1030</v>
      </c>
      <c r="K279" t="s">
        <v>1031</v>
      </c>
    </row>
    <row r="280" spans="1:11" x14ac:dyDescent="0.25">
      <c r="A280" t="s">
        <v>279</v>
      </c>
      <c r="B280" s="1">
        <v>45595</v>
      </c>
      <c r="C280">
        <f t="shared" si="8"/>
        <v>2024</v>
      </c>
      <c r="D280" t="str">
        <f t="shared" si="3"/>
        <v>October</v>
      </c>
      <c r="E280" t="str">
        <f t="shared" si="7"/>
        <v>Week5</v>
      </c>
      <c r="F280" t="s">
        <v>1106</v>
      </c>
      <c r="G280" t="s">
        <v>1010</v>
      </c>
      <c r="H280">
        <v>7000</v>
      </c>
      <c r="I280" t="s">
        <v>1027</v>
      </c>
      <c r="J280" t="s">
        <v>1030</v>
      </c>
      <c r="K280" t="s">
        <v>1031</v>
      </c>
    </row>
    <row r="281" spans="1:11" x14ac:dyDescent="0.25">
      <c r="A281" t="s">
        <v>280</v>
      </c>
      <c r="B281" s="1">
        <v>45595</v>
      </c>
      <c r="C281">
        <f t="shared" si="8"/>
        <v>2024</v>
      </c>
      <c r="D281" t="str">
        <f t="shared" si="3"/>
        <v>October</v>
      </c>
      <c r="E281" t="str">
        <f t="shared" si="7"/>
        <v>Week5</v>
      </c>
      <c r="F281" t="s">
        <v>1046</v>
      </c>
      <c r="G281" t="s">
        <v>1014</v>
      </c>
      <c r="H281">
        <v>4300</v>
      </c>
      <c r="I281" t="s">
        <v>1028</v>
      </c>
      <c r="J281" t="s">
        <v>1030</v>
      </c>
      <c r="K281" t="s">
        <v>1031</v>
      </c>
    </row>
    <row r="282" spans="1:11" x14ac:dyDescent="0.25">
      <c r="A282" t="s">
        <v>281</v>
      </c>
      <c r="B282" s="1">
        <v>45600</v>
      </c>
      <c r="C282">
        <f t="shared" si="8"/>
        <v>2024</v>
      </c>
      <c r="D282" t="str">
        <f t="shared" si="3"/>
        <v>November</v>
      </c>
      <c r="E282" t="str">
        <f t="shared" si="7"/>
        <v>Week1</v>
      </c>
      <c r="F282" t="s">
        <v>1035</v>
      </c>
      <c r="G282" t="s">
        <v>1197</v>
      </c>
      <c r="H282">
        <v>11000</v>
      </c>
      <c r="I282" t="s">
        <v>1027</v>
      </c>
      <c r="J282" t="s">
        <v>1030</v>
      </c>
      <c r="K282" t="s">
        <v>1031</v>
      </c>
    </row>
    <row r="283" spans="1:11" x14ac:dyDescent="0.25">
      <c r="A283" t="s">
        <v>282</v>
      </c>
      <c r="B283" s="1">
        <v>45600</v>
      </c>
      <c r="C283">
        <f t="shared" si="8"/>
        <v>2024</v>
      </c>
      <c r="D283" t="str">
        <f t="shared" si="3"/>
        <v>November</v>
      </c>
      <c r="E283" t="str">
        <f t="shared" si="7"/>
        <v>Week1</v>
      </c>
      <c r="F283" t="s">
        <v>1033</v>
      </c>
      <c r="G283" t="s">
        <v>1014</v>
      </c>
      <c r="H283">
        <v>77920</v>
      </c>
      <c r="I283" t="s">
        <v>1027</v>
      </c>
      <c r="J283" t="s">
        <v>1030</v>
      </c>
      <c r="K283" t="s">
        <v>1031</v>
      </c>
    </row>
    <row r="284" spans="1:11" x14ac:dyDescent="0.25">
      <c r="A284" t="s">
        <v>283</v>
      </c>
      <c r="B284" s="1">
        <v>45600</v>
      </c>
      <c r="C284">
        <f t="shared" si="8"/>
        <v>2024</v>
      </c>
      <c r="D284" t="str">
        <f t="shared" si="3"/>
        <v>November</v>
      </c>
      <c r="E284" t="str">
        <f t="shared" si="7"/>
        <v>Week1</v>
      </c>
      <c r="F284" t="s">
        <v>1102</v>
      </c>
      <c r="G284" t="s">
        <v>1011</v>
      </c>
      <c r="H284">
        <v>29000</v>
      </c>
      <c r="I284" t="s">
        <v>1027</v>
      </c>
      <c r="J284" t="s">
        <v>1030</v>
      </c>
      <c r="K284" t="s">
        <v>1031</v>
      </c>
    </row>
    <row r="285" spans="1:11" x14ac:dyDescent="0.25">
      <c r="A285" t="s">
        <v>284</v>
      </c>
      <c r="B285" s="1">
        <v>45601</v>
      </c>
      <c r="C285">
        <f t="shared" si="8"/>
        <v>2024</v>
      </c>
      <c r="D285" t="str">
        <f t="shared" si="3"/>
        <v>November</v>
      </c>
      <c r="E285" t="str">
        <f t="shared" si="7"/>
        <v>Week1</v>
      </c>
      <c r="F285" t="s">
        <v>1018</v>
      </c>
      <c r="G285" t="s">
        <v>1013</v>
      </c>
      <c r="H285">
        <v>3000</v>
      </c>
      <c r="I285" t="s">
        <v>1027</v>
      </c>
      <c r="J285" t="s">
        <v>1030</v>
      </c>
      <c r="K285" t="s">
        <v>1031</v>
      </c>
    </row>
    <row r="286" spans="1:11" x14ac:dyDescent="0.25">
      <c r="A286" t="s">
        <v>285</v>
      </c>
      <c r="B286" s="1">
        <v>45601</v>
      </c>
      <c r="C286">
        <f t="shared" si="8"/>
        <v>2024</v>
      </c>
      <c r="D286" t="str">
        <f t="shared" si="3"/>
        <v>November</v>
      </c>
      <c r="E286" t="str">
        <f t="shared" si="7"/>
        <v>Week1</v>
      </c>
      <c r="F286" t="s">
        <v>1018</v>
      </c>
      <c r="G286" t="s">
        <v>1013</v>
      </c>
      <c r="H286">
        <v>5000</v>
      </c>
      <c r="I286" t="s">
        <v>1027</v>
      </c>
      <c r="J286" t="s">
        <v>1030</v>
      </c>
      <c r="K286" t="s">
        <v>1031</v>
      </c>
    </row>
    <row r="287" spans="1:11" x14ac:dyDescent="0.25">
      <c r="A287" t="s">
        <v>286</v>
      </c>
      <c r="B287" s="1">
        <v>45602</v>
      </c>
      <c r="C287">
        <f t="shared" si="8"/>
        <v>2024</v>
      </c>
      <c r="D287" t="str">
        <f t="shared" si="3"/>
        <v>November</v>
      </c>
      <c r="E287" t="str">
        <f t="shared" si="7"/>
        <v>Week1</v>
      </c>
      <c r="F287" t="s">
        <v>1049</v>
      </c>
      <c r="G287" t="s">
        <v>1199</v>
      </c>
      <c r="H287">
        <v>20000</v>
      </c>
      <c r="I287" t="s">
        <v>1027</v>
      </c>
      <c r="J287" t="s">
        <v>1030</v>
      </c>
      <c r="K287" t="s">
        <v>1031</v>
      </c>
    </row>
    <row r="288" spans="1:11" x14ac:dyDescent="0.25">
      <c r="A288" t="s">
        <v>287</v>
      </c>
      <c r="B288" s="1">
        <v>45604</v>
      </c>
      <c r="C288">
        <f t="shared" si="8"/>
        <v>2024</v>
      </c>
      <c r="D288" t="str">
        <f t="shared" si="3"/>
        <v>November</v>
      </c>
      <c r="E288" t="str">
        <f t="shared" si="7"/>
        <v>Week2</v>
      </c>
      <c r="F288" t="s">
        <v>1037</v>
      </c>
      <c r="G288" t="s">
        <v>1199</v>
      </c>
      <c r="H288">
        <v>20000</v>
      </c>
      <c r="I288" t="s">
        <v>1027</v>
      </c>
      <c r="J288" t="s">
        <v>1030</v>
      </c>
      <c r="K288" t="s">
        <v>1031</v>
      </c>
    </row>
    <row r="289" spans="1:11" x14ac:dyDescent="0.25">
      <c r="A289" t="s">
        <v>288</v>
      </c>
      <c r="B289" s="1">
        <v>45604</v>
      </c>
      <c r="C289">
        <f t="shared" si="8"/>
        <v>2024</v>
      </c>
      <c r="D289" t="str">
        <f t="shared" si="3"/>
        <v>November</v>
      </c>
      <c r="E289" t="str">
        <f t="shared" si="7"/>
        <v>Week2</v>
      </c>
      <c r="F289" t="s">
        <v>1107</v>
      </c>
      <c r="G289" t="s">
        <v>1015</v>
      </c>
      <c r="H289">
        <v>10000</v>
      </c>
      <c r="I289" t="s">
        <v>1029</v>
      </c>
      <c r="J289" t="s">
        <v>1030</v>
      </c>
      <c r="K289" t="s">
        <v>1031</v>
      </c>
    </row>
    <row r="290" spans="1:11" x14ac:dyDescent="0.25">
      <c r="A290" t="s">
        <v>289</v>
      </c>
      <c r="B290" s="1">
        <v>45603</v>
      </c>
      <c r="C290">
        <f t="shared" si="8"/>
        <v>2024</v>
      </c>
      <c r="D290" t="str">
        <f t="shared" si="3"/>
        <v>November</v>
      </c>
      <c r="E290" t="str">
        <f t="shared" si="7"/>
        <v>Week1</v>
      </c>
      <c r="F290" t="s">
        <v>1108</v>
      </c>
      <c r="G290" t="s">
        <v>1015</v>
      </c>
      <c r="H290">
        <v>7000</v>
      </c>
      <c r="I290" t="s">
        <v>1027</v>
      </c>
      <c r="J290" t="s">
        <v>1030</v>
      </c>
      <c r="K290" t="s">
        <v>1031</v>
      </c>
    </row>
    <row r="291" spans="1:11" x14ac:dyDescent="0.25">
      <c r="A291" t="s">
        <v>290</v>
      </c>
      <c r="B291" s="1">
        <v>45615</v>
      </c>
      <c r="C291">
        <f t="shared" si="8"/>
        <v>2024</v>
      </c>
      <c r="D291" t="str">
        <f t="shared" si="3"/>
        <v>November</v>
      </c>
      <c r="E291" t="str">
        <f t="shared" si="7"/>
        <v>Week3</v>
      </c>
      <c r="F291" t="s">
        <v>1109</v>
      </c>
      <c r="G291" t="s">
        <v>1010</v>
      </c>
      <c r="H291">
        <v>2500</v>
      </c>
      <c r="I291" t="s">
        <v>1027</v>
      </c>
      <c r="J291" t="s">
        <v>1030</v>
      </c>
      <c r="K291" t="s">
        <v>1031</v>
      </c>
    </row>
    <row r="292" spans="1:11" x14ac:dyDescent="0.25">
      <c r="A292" t="s">
        <v>291</v>
      </c>
      <c r="B292" s="1">
        <v>45615</v>
      </c>
      <c r="C292">
        <f t="shared" si="8"/>
        <v>2024</v>
      </c>
      <c r="D292" t="str">
        <f t="shared" si="3"/>
        <v>November</v>
      </c>
      <c r="E292" t="str">
        <f t="shared" si="7"/>
        <v>Week3</v>
      </c>
      <c r="F292" t="s">
        <v>1035</v>
      </c>
      <c r="G292" t="s">
        <v>1197</v>
      </c>
      <c r="H292">
        <v>10000</v>
      </c>
      <c r="I292" t="s">
        <v>1027</v>
      </c>
      <c r="J292" t="s">
        <v>1030</v>
      </c>
      <c r="K292" t="s">
        <v>1031</v>
      </c>
    </row>
    <row r="293" spans="1:11" x14ac:dyDescent="0.25">
      <c r="A293" t="s">
        <v>292</v>
      </c>
      <c r="B293" s="1">
        <v>45616</v>
      </c>
      <c r="C293">
        <f t="shared" si="8"/>
        <v>2024</v>
      </c>
      <c r="D293" t="str">
        <f t="shared" si="3"/>
        <v>November</v>
      </c>
      <c r="E293" t="str">
        <f t="shared" si="7"/>
        <v>Week3</v>
      </c>
      <c r="F293" t="s">
        <v>1046</v>
      </c>
      <c r="G293" t="s">
        <v>1014</v>
      </c>
      <c r="H293">
        <v>4500</v>
      </c>
      <c r="I293" t="s">
        <v>1028</v>
      </c>
      <c r="J293" t="s">
        <v>1030</v>
      </c>
      <c r="K293" t="s">
        <v>1031</v>
      </c>
    </row>
    <row r="294" spans="1:11" x14ac:dyDescent="0.25">
      <c r="A294" t="s">
        <v>293</v>
      </c>
      <c r="B294" s="1">
        <v>45617</v>
      </c>
      <c r="C294">
        <f t="shared" si="8"/>
        <v>2024</v>
      </c>
      <c r="D294" t="str">
        <f t="shared" si="3"/>
        <v>November</v>
      </c>
      <c r="E294" t="str">
        <f t="shared" si="7"/>
        <v>Week3</v>
      </c>
      <c r="F294" t="s">
        <v>1110</v>
      </c>
      <c r="G294" t="s">
        <v>1010</v>
      </c>
      <c r="H294">
        <v>6000</v>
      </c>
      <c r="I294" t="s">
        <v>1027</v>
      </c>
      <c r="J294" t="s">
        <v>1030</v>
      </c>
      <c r="K294" t="s">
        <v>1031</v>
      </c>
    </row>
    <row r="295" spans="1:11" x14ac:dyDescent="0.25">
      <c r="A295" t="s">
        <v>294</v>
      </c>
      <c r="B295" s="1">
        <v>45621</v>
      </c>
      <c r="C295">
        <f t="shared" si="8"/>
        <v>2024</v>
      </c>
      <c r="D295" t="str">
        <f t="shared" si="3"/>
        <v>November</v>
      </c>
      <c r="E295" t="str">
        <f t="shared" si="7"/>
        <v>Week4</v>
      </c>
      <c r="F295" t="s">
        <v>1035</v>
      </c>
      <c r="G295" t="s">
        <v>1197</v>
      </c>
      <c r="H295">
        <v>11000</v>
      </c>
      <c r="I295" t="s">
        <v>1027</v>
      </c>
      <c r="J295" t="s">
        <v>1030</v>
      </c>
      <c r="K295" t="s">
        <v>1031</v>
      </c>
    </row>
    <row r="296" spans="1:11" x14ac:dyDescent="0.25">
      <c r="A296" t="s">
        <v>295</v>
      </c>
      <c r="B296" s="1">
        <v>45623</v>
      </c>
      <c r="C296">
        <f t="shared" si="8"/>
        <v>2024</v>
      </c>
      <c r="D296" t="str">
        <f t="shared" si="3"/>
        <v>November</v>
      </c>
      <c r="E296" t="str">
        <f t="shared" si="7"/>
        <v>Week4</v>
      </c>
      <c r="F296" t="s">
        <v>1018</v>
      </c>
      <c r="G296" t="s">
        <v>1013</v>
      </c>
      <c r="H296">
        <v>3000</v>
      </c>
      <c r="I296" t="s">
        <v>1027</v>
      </c>
      <c r="J296" t="s">
        <v>1030</v>
      </c>
      <c r="K296" t="s">
        <v>1031</v>
      </c>
    </row>
    <row r="297" spans="1:11" x14ac:dyDescent="0.25">
      <c r="A297" t="s">
        <v>296</v>
      </c>
      <c r="B297" s="1">
        <v>45624</v>
      </c>
      <c r="C297">
        <f t="shared" si="8"/>
        <v>2024</v>
      </c>
      <c r="D297" t="str">
        <f t="shared" si="3"/>
        <v>November</v>
      </c>
      <c r="E297" t="str">
        <f t="shared" si="7"/>
        <v>Week4</v>
      </c>
      <c r="F297" t="s">
        <v>1025</v>
      </c>
      <c r="G297" t="s">
        <v>1014</v>
      </c>
      <c r="H297">
        <v>5000</v>
      </c>
      <c r="I297" t="s">
        <v>1027</v>
      </c>
      <c r="J297" t="s">
        <v>1030</v>
      </c>
      <c r="K297" t="s">
        <v>1031</v>
      </c>
    </row>
    <row r="298" spans="1:11" x14ac:dyDescent="0.25">
      <c r="A298" t="s">
        <v>297</v>
      </c>
      <c r="B298" s="1">
        <v>45625</v>
      </c>
      <c r="C298">
        <f t="shared" si="8"/>
        <v>2024</v>
      </c>
      <c r="D298" t="str">
        <f t="shared" si="3"/>
        <v>November</v>
      </c>
      <c r="E298" t="str">
        <f t="shared" si="7"/>
        <v>Week5</v>
      </c>
      <c r="F298" t="s">
        <v>1023</v>
      </c>
      <c r="G298" t="s">
        <v>1201</v>
      </c>
      <c r="H298">
        <v>7000</v>
      </c>
      <c r="I298" t="s">
        <v>1029</v>
      </c>
      <c r="J298" t="s">
        <v>1030</v>
      </c>
      <c r="K298" t="s">
        <v>1031</v>
      </c>
    </row>
    <row r="299" spans="1:11" x14ac:dyDescent="0.25">
      <c r="A299" t="s">
        <v>298</v>
      </c>
      <c r="B299" s="1">
        <v>45625</v>
      </c>
      <c r="C299">
        <f t="shared" si="8"/>
        <v>2024</v>
      </c>
      <c r="D299" t="str">
        <f t="shared" si="3"/>
        <v>November</v>
      </c>
      <c r="E299" t="str">
        <f t="shared" si="7"/>
        <v>Week5</v>
      </c>
      <c r="F299" t="s">
        <v>1099</v>
      </c>
      <c r="G299" t="s">
        <v>1198</v>
      </c>
      <c r="H299">
        <v>30000</v>
      </c>
      <c r="I299" t="s">
        <v>1027</v>
      </c>
      <c r="J299" t="s">
        <v>1030</v>
      </c>
      <c r="K299" t="s">
        <v>1031</v>
      </c>
    </row>
    <row r="300" spans="1:11" x14ac:dyDescent="0.25">
      <c r="A300" t="s">
        <v>299</v>
      </c>
      <c r="B300" s="1">
        <v>45621</v>
      </c>
      <c r="C300">
        <f t="shared" si="8"/>
        <v>2024</v>
      </c>
      <c r="D300" t="str">
        <f t="shared" si="3"/>
        <v>November</v>
      </c>
      <c r="E300" t="str">
        <f t="shared" si="7"/>
        <v>Week4</v>
      </c>
      <c r="F300" t="s">
        <v>1065</v>
      </c>
      <c r="G300" t="s">
        <v>1011</v>
      </c>
      <c r="H300">
        <v>35000</v>
      </c>
      <c r="I300" t="s">
        <v>1028</v>
      </c>
      <c r="J300" t="s">
        <v>1030</v>
      </c>
      <c r="K300" t="s">
        <v>1031</v>
      </c>
    </row>
    <row r="301" spans="1:11" x14ac:dyDescent="0.25">
      <c r="A301" t="s">
        <v>300</v>
      </c>
      <c r="B301" s="1">
        <v>45624</v>
      </c>
      <c r="C301">
        <f t="shared" si="8"/>
        <v>2024</v>
      </c>
      <c r="D301" t="str">
        <f t="shared" si="3"/>
        <v>November</v>
      </c>
      <c r="E301" t="str">
        <f t="shared" si="7"/>
        <v>Week4</v>
      </c>
      <c r="F301" t="s">
        <v>1065</v>
      </c>
      <c r="G301" t="s">
        <v>1011</v>
      </c>
      <c r="H301">
        <v>20000</v>
      </c>
      <c r="I301" t="s">
        <v>1028</v>
      </c>
      <c r="J301" t="s">
        <v>1030</v>
      </c>
      <c r="K301" t="s">
        <v>1031</v>
      </c>
    </row>
    <row r="302" spans="1:11" x14ac:dyDescent="0.25">
      <c r="A302" t="s">
        <v>301</v>
      </c>
      <c r="B302" s="1">
        <v>45628</v>
      </c>
      <c r="C302">
        <f t="shared" si="8"/>
        <v>2024</v>
      </c>
      <c r="D302" t="str">
        <f t="shared" si="3"/>
        <v>December</v>
      </c>
      <c r="E302" t="str">
        <f t="shared" si="7"/>
        <v>Week1</v>
      </c>
      <c r="F302" t="s">
        <v>1037</v>
      </c>
      <c r="G302" t="s">
        <v>1199</v>
      </c>
      <c r="H302">
        <v>20000</v>
      </c>
      <c r="I302" t="s">
        <v>1027</v>
      </c>
      <c r="J302" t="s">
        <v>1030</v>
      </c>
      <c r="K302" t="s">
        <v>1031</v>
      </c>
    </row>
    <row r="303" spans="1:11" x14ac:dyDescent="0.25">
      <c r="A303" t="s">
        <v>302</v>
      </c>
      <c r="B303" s="1">
        <v>45628</v>
      </c>
      <c r="C303">
        <f t="shared" si="8"/>
        <v>2024</v>
      </c>
      <c r="D303" t="str">
        <f t="shared" si="3"/>
        <v>December</v>
      </c>
      <c r="E303" t="str">
        <f t="shared" si="7"/>
        <v>Week1</v>
      </c>
      <c r="F303" t="s">
        <v>1033</v>
      </c>
      <c r="G303" t="s">
        <v>1014</v>
      </c>
      <c r="H303">
        <v>103330</v>
      </c>
      <c r="I303" t="s">
        <v>1028</v>
      </c>
      <c r="J303" t="s">
        <v>1030</v>
      </c>
      <c r="K303" t="s">
        <v>1031</v>
      </c>
    </row>
    <row r="304" spans="1:11" x14ac:dyDescent="0.25">
      <c r="A304" t="s">
        <v>303</v>
      </c>
      <c r="B304" s="1">
        <v>45628</v>
      </c>
      <c r="C304">
        <f t="shared" si="8"/>
        <v>2024</v>
      </c>
      <c r="D304" t="str">
        <f t="shared" si="3"/>
        <v>December</v>
      </c>
      <c r="E304" t="str">
        <f t="shared" si="7"/>
        <v>Week1</v>
      </c>
      <c r="F304" t="s">
        <v>1111</v>
      </c>
      <c r="G304" t="s">
        <v>1012</v>
      </c>
      <c r="H304">
        <v>9730</v>
      </c>
      <c r="I304" t="s">
        <v>1028</v>
      </c>
      <c r="J304" t="s">
        <v>1030</v>
      </c>
      <c r="K304" t="s">
        <v>1031</v>
      </c>
    </row>
    <row r="305" spans="1:11" x14ac:dyDescent="0.25">
      <c r="A305" t="s">
        <v>304</v>
      </c>
      <c r="B305" s="1">
        <v>45628</v>
      </c>
      <c r="C305">
        <f t="shared" si="8"/>
        <v>2024</v>
      </c>
      <c r="D305" t="str">
        <f t="shared" si="3"/>
        <v>December</v>
      </c>
      <c r="E305" t="str">
        <f t="shared" si="7"/>
        <v>Week1</v>
      </c>
      <c r="F305" t="s">
        <v>1112</v>
      </c>
      <c r="G305" t="s">
        <v>1198</v>
      </c>
      <c r="H305">
        <v>5000</v>
      </c>
      <c r="I305" t="s">
        <v>1029</v>
      </c>
      <c r="J305" t="s">
        <v>1030</v>
      </c>
      <c r="K305" t="s">
        <v>1031</v>
      </c>
    </row>
    <row r="306" spans="1:11" x14ac:dyDescent="0.25">
      <c r="A306" t="s">
        <v>305</v>
      </c>
      <c r="B306" s="1">
        <v>45628</v>
      </c>
      <c r="C306">
        <f t="shared" si="8"/>
        <v>2024</v>
      </c>
      <c r="D306" t="str">
        <f t="shared" si="3"/>
        <v>December</v>
      </c>
      <c r="E306" t="str">
        <f t="shared" si="7"/>
        <v>Week1</v>
      </c>
      <c r="F306" t="s">
        <v>1018</v>
      </c>
      <c r="G306" t="s">
        <v>1013</v>
      </c>
      <c r="H306">
        <v>5000</v>
      </c>
      <c r="I306" t="s">
        <v>1027</v>
      </c>
      <c r="J306" t="s">
        <v>1030</v>
      </c>
      <c r="K306" t="s">
        <v>1031</v>
      </c>
    </row>
    <row r="307" spans="1:11" x14ac:dyDescent="0.25">
      <c r="A307" t="s">
        <v>306</v>
      </c>
      <c r="B307" s="1">
        <v>45629</v>
      </c>
      <c r="C307">
        <f t="shared" si="8"/>
        <v>2024</v>
      </c>
      <c r="D307" t="str">
        <f t="shared" si="3"/>
        <v>December</v>
      </c>
      <c r="E307" t="str">
        <f t="shared" si="7"/>
        <v>Week1</v>
      </c>
      <c r="F307" t="s">
        <v>1049</v>
      </c>
      <c r="G307" t="s">
        <v>1199</v>
      </c>
      <c r="H307">
        <v>20000</v>
      </c>
      <c r="I307" t="s">
        <v>1027</v>
      </c>
      <c r="J307" t="s">
        <v>1030</v>
      </c>
      <c r="K307" t="s">
        <v>1031</v>
      </c>
    </row>
    <row r="308" spans="1:11" x14ac:dyDescent="0.25">
      <c r="A308" t="s">
        <v>307</v>
      </c>
      <c r="B308" s="1">
        <v>45630</v>
      </c>
      <c r="C308">
        <f t="shared" si="8"/>
        <v>2024</v>
      </c>
      <c r="D308" t="str">
        <f t="shared" si="3"/>
        <v>December</v>
      </c>
      <c r="E308" t="str">
        <f t="shared" si="7"/>
        <v>Week1</v>
      </c>
      <c r="F308" t="s">
        <v>1113</v>
      </c>
      <c r="G308" t="s">
        <v>1010</v>
      </c>
      <c r="H308">
        <v>6000</v>
      </c>
      <c r="I308" t="s">
        <v>1027</v>
      </c>
      <c r="J308" t="s">
        <v>1030</v>
      </c>
      <c r="K308" t="s">
        <v>1031</v>
      </c>
    </row>
    <row r="309" spans="1:11" x14ac:dyDescent="0.25">
      <c r="A309" t="s">
        <v>308</v>
      </c>
      <c r="B309" s="1">
        <v>45630</v>
      </c>
      <c r="C309">
        <f t="shared" si="8"/>
        <v>2024</v>
      </c>
      <c r="D309" t="str">
        <f t="shared" si="3"/>
        <v>December</v>
      </c>
      <c r="E309" t="str">
        <f t="shared" si="7"/>
        <v>Week1</v>
      </c>
      <c r="F309" t="s">
        <v>1114</v>
      </c>
      <c r="G309" t="s">
        <v>1015</v>
      </c>
      <c r="H309">
        <v>16000</v>
      </c>
      <c r="I309" t="s">
        <v>1029</v>
      </c>
      <c r="J309" t="s">
        <v>1030</v>
      </c>
      <c r="K309" t="s">
        <v>1031</v>
      </c>
    </row>
    <row r="310" spans="1:11" x14ac:dyDescent="0.25">
      <c r="A310" t="s">
        <v>309</v>
      </c>
      <c r="B310" s="1">
        <v>45607</v>
      </c>
      <c r="C310">
        <f t="shared" si="8"/>
        <v>2024</v>
      </c>
      <c r="D310" t="str">
        <f t="shared" si="3"/>
        <v>November</v>
      </c>
      <c r="E310" t="str">
        <f t="shared" si="7"/>
        <v>Week2</v>
      </c>
      <c r="F310" t="s">
        <v>1035</v>
      </c>
      <c r="G310" t="s">
        <v>1197</v>
      </c>
      <c r="H310">
        <v>11000</v>
      </c>
      <c r="I310" t="s">
        <v>1027</v>
      </c>
      <c r="J310" t="s">
        <v>1030</v>
      </c>
      <c r="K310" t="s">
        <v>1031</v>
      </c>
    </row>
    <row r="311" spans="1:11" x14ac:dyDescent="0.25">
      <c r="A311" t="s">
        <v>310</v>
      </c>
      <c r="B311" s="1">
        <v>45609</v>
      </c>
      <c r="C311">
        <f t="shared" si="8"/>
        <v>2024</v>
      </c>
      <c r="D311" t="str">
        <f t="shared" si="3"/>
        <v>November</v>
      </c>
      <c r="E311" t="str">
        <f t="shared" si="7"/>
        <v>Week2</v>
      </c>
      <c r="F311" t="s">
        <v>1113</v>
      </c>
      <c r="G311" t="s">
        <v>1010</v>
      </c>
      <c r="H311">
        <v>10000</v>
      </c>
      <c r="I311" t="s">
        <v>1029</v>
      </c>
      <c r="J311" t="s">
        <v>1030</v>
      </c>
      <c r="K311" t="s">
        <v>1031</v>
      </c>
    </row>
    <row r="312" spans="1:11" x14ac:dyDescent="0.25">
      <c r="A312" t="s">
        <v>311</v>
      </c>
      <c r="B312" s="1">
        <v>45610</v>
      </c>
      <c r="C312">
        <f t="shared" si="8"/>
        <v>2024</v>
      </c>
      <c r="D312" t="str">
        <f t="shared" si="3"/>
        <v>November</v>
      </c>
      <c r="E312" t="str">
        <f t="shared" si="7"/>
        <v>Week2</v>
      </c>
      <c r="F312" t="s">
        <v>1113</v>
      </c>
      <c r="G312" t="s">
        <v>1010</v>
      </c>
      <c r="H312">
        <v>8000</v>
      </c>
      <c r="I312" t="s">
        <v>1029</v>
      </c>
      <c r="J312" t="s">
        <v>1030</v>
      </c>
      <c r="K312" t="s">
        <v>1031</v>
      </c>
    </row>
    <row r="313" spans="1:11" x14ac:dyDescent="0.25">
      <c r="A313" t="s">
        <v>312</v>
      </c>
      <c r="B313" s="1">
        <v>45610</v>
      </c>
      <c r="C313">
        <f t="shared" si="8"/>
        <v>2024</v>
      </c>
      <c r="D313" t="str">
        <f t="shared" si="3"/>
        <v>November</v>
      </c>
      <c r="E313" t="str">
        <f t="shared" si="7"/>
        <v>Week2</v>
      </c>
      <c r="F313" t="s">
        <v>1115</v>
      </c>
      <c r="G313" t="s">
        <v>1198</v>
      </c>
      <c r="H313">
        <v>4000</v>
      </c>
      <c r="I313" t="s">
        <v>1029</v>
      </c>
      <c r="J313" t="s">
        <v>1030</v>
      </c>
      <c r="K313" t="s">
        <v>1031</v>
      </c>
    </row>
    <row r="314" spans="1:11" x14ac:dyDescent="0.25">
      <c r="A314" t="s">
        <v>313</v>
      </c>
      <c r="B314" s="1">
        <v>45611</v>
      </c>
      <c r="C314">
        <f t="shared" si="8"/>
        <v>2024</v>
      </c>
      <c r="D314" t="str">
        <f t="shared" si="3"/>
        <v>November</v>
      </c>
      <c r="E314" t="str">
        <f t="shared" si="7"/>
        <v>Week3</v>
      </c>
      <c r="F314" t="s">
        <v>1045</v>
      </c>
      <c r="G314" t="s">
        <v>1197</v>
      </c>
      <c r="H314">
        <v>64000</v>
      </c>
      <c r="I314" t="s">
        <v>1027</v>
      </c>
      <c r="J314" t="s">
        <v>1030</v>
      </c>
      <c r="K314" t="s">
        <v>1031</v>
      </c>
    </row>
    <row r="315" spans="1:11" x14ac:dyDescent="0.25">
      <c r="A315" t="s">
        <v>314</v>
      </c>
      <c r="B315" s="1">
        <v>45613</v>
      </c>
      <c r="C315">
        <f t="shared" si="8"/>
        <v>2024</v>
      </c>
      <c r="D315" t="str">
        <f t="shared" si="3"/>
        <v>November</v>
      </c>
      <c r="E315" t="str">
        <f t="shared" si="7"/>
        <v>Week3</v>
      </c>
      <c r="F315" t="s">
        <v>1018</v>
      </c>
      <c r="G315" t="s">
        <v>1013</v>
      </c>
      <c r="H315">
        <v>3000</v>
      </c>
      <c r="I315" t="s">
        <v>1027</v>
      </c>
      <c r="J315" t="s">
        <v>1030</v>
      </c>
      <c r="K315" t="s">
        <v>1031</v>
      </c>
    </row>
    <row r="316" spans="1:11" x14ac:dyDescent="0.25">
      <c r="A316" t="s">
        <v>315</v>
      </c>
      <c r="B316" s="1">
        <v>45607</v>
      </c>
      <c r="C316">
        <f t="shared" si="8"/>
        <v>2024</v>
      </c>
      <c r="D316" t="str">
        <f t="shared" si="3"/>
        <v>November</v>
      </c>
      <c r="E316" t="str">
        <f t="shared" si="7"/>
        <v>Week2</v>
      </c>
      <c r="F316" t="s">
        <v>1040</v>
      </c>
      <c r="G316" t="s">
        <v>1199</v>
      </c>
      <c r="H316">
        <v>20000</v>
      </c>
      <c r="I316" t="s">
        <v>1027</v>
      </c>
      <c r="J316" t="s">
        <v>1030</v>
      </c>
      <c r="K316" t="s">
        <v>1031</v>
      </c>
    </row>
    <row r="317" spans="1:11" x14ac:dyDescent="0.25">
      <c r="A317" t="s">
        <v>316</v>
      </c>
      <c r="B317" s="1">
        <v>45629</v>
      </c>
      <c r="C317">
        <f t="shared" si="8"/>
        <v>2024</v>
      </c>
      <c r="D317" t="str">
        <f t="shared" si="3"/>
        <v>December</v>
      </c>
      <c r="E317" t="str">
        <f t="shared" si="7"/>
        <v>Week1</v>
      </c>
      <c r="F317" t="s">
        <v>1035</v>
      </c>
      <c r="G317" t="s">
        <v>1197</v>
      </c>
      <c r="H317">
        <v>11000</v>
      </c>
      <c r="I317" t="s">
        <v>1027</v>
      </c>
      <c r="J317" t="s">
        <v>1030</v>
      </c>
      <c r="K317" t="s">
        <v>1031</v>
      </c>
    </row>
    <row r="318" spans="1:11" x14ac:dyDescent="0.25">
      <c r="A318" t="s">
        <v>317</v>
      </c>
      <c r="B318" s="1">
        <v>45632</v>
      </c>
      <c r="C318">
        <f t="shared" si="8"/>
        <v>2024</v>
      </c>
      <c r="D318" t="str">
        <f t="shared" si="3"/>
        <v>December</v>
      </c>
      <c r="E318" t="str">
        <f t="shared" si="7"/>
        <v>Week1</v>
      </c>
      <c r="F318" t="s">
        <v>1045</v>
      </c>
      <c r="G318" t="s">
        <v>1197</v>
      </c>
      <c r="H318">
        <v>100000</v>
      </c>
      <c r="I318" t="s">
        <v>1027</v>
      </c>
      <c r="J318" t="s">
        <v>1030</v>
      </c>
      <c r="K318" t="s">
        <v>1031</v>
      </c>
    </row>
    <row r="319" spans="1:11" x14ac:dyDescent="0.25">
      <c r="A319" t="s">
        <v>318</v>
      </c>
      <c r="B319" s="1">
        <v>45633</v>
      </c>
      <c r="C319">
        <f t="shared" si="8"/>
        <v>2024</v>
      </c>
      <c r="D319" t="str">
        <f t="shared" si="3"/>
        <v>December</v>
      </c>
      <c r="E319" t="str">
        <f t="shared" si="7"/>
        <v>Week1</v>
      </c>
      <c r="F319" t="s">
        <v>1116</v>
      </c>
      <c r="G319" t="s">
        <v>1015</v>
      </c>
      <c r="H319">
        <v>11250</v>
      </c>
      <c r="I319" t="s">
        <v>1028</v>
      </c>
      <c r="J319" t="s">
        <v>1030</v>
      </c>
      <c r="K319" t="s">
        <v>1031</v>
      </c>
    </row>
    <row r="320" spans="1:11" x14ac:dyDescent="0.25">
      <c r="A320" t="s">
        <v>319</v>
      </c>
      <c r="B320" s="1">
        <v>45635</v>
      </c>
      <c r="C320">
        <f t="shared" si="8"/>
        <v>2024</v>
      </c>
      <c r="D320" t="str">
        <f t="shared" si="3"/>
        <v>December</v>
      </c>
      <c r="E320" t="str">
        <f t="shared" si="7"/>
        <v>Week2</v>
      </c>
      <c r="F320" t="s">
        <v>1046</v>
      </c>
      <c r="G320" t="s">
        <v>1014</v>
      </c>
      <c r="H320">
        <v>4500</v>
      </c>
      <c r="I320" t="s">
        <v>1028</v>
      </c>
      <c r="J320" t="s">
        <v>1030</v>
      </c>
      <c r="K320" t="s">
        <v>1031</v>
      </c>
    </row>
    <row r="321" spans="1:11" x14ac:dyDescent="0.25">
      <c r="A321" t="s">
        <v>320</v>
      </c>
      <c r="B321" s="1">
        <v>45635</v>
      </c>
      <c r="C321">
        <f t="shared" si="8"/>
        <v>2024</v>
      </c>
      <c r="D321" t="str">
        <f t="shared" si="3"/>
        <v>December</v>
      </c>
      <c r="E321" t="str">
        <f t="shared" si="7"/>
        <v>Week2</v>
      </c>
      <c r="F321" t="s">
        <v>1040</v>
      </c>
      <c r="G321" t="s">
        <v>1199</v>
      </c>
      <c r="H321">
        <v>20000</v>
      </c>
      <c r="I321" t="s">
        <v>1027</v>
      </c>
      <c r="J321" t="s">
        <v>1030</v>
      </c>
      <c r="K321" t="s">
        <v>1031</v>
      </c>
    </row>
    <row r="322" spans="1:11" x14ac:dyDescent="0.25">
      <c r="A322" t="s">
        <v>321</v>
      </c>
      <c r="B322" s="1">
        <v>45635</v>
      </c>
      <c r="C322">
        <f t="shared" si="8"/>
        <v>2024</v>
      </c>
      <c r="D322" t="str">
        <f t="shared" ref="D322:D576" si="9">TEXT(B322,"mmmm")</f>
        <v>December</v>
      </c>
      <c r="E322" t="str">
        <f t="shared" si="7"/>
        <v>Week2</v>
      </c>
      <c r="F322" t="s">
        <v>1035</v>
      </c>
      <c r="G322" t="s">
        <v>1197</v>
      </c>
      <c r="H322">
        <v>11000</v>
      </c>
      <c r="I322" t="s">
        <v>1027</v>
      </c>
      <c r="J322" t="s">
        <v>1030</v>
      </c>
      <c r="K322" t="s">
        <v>1031</v>
      </c>
    </row>
    <row r="323" spans="1:11" x14ac:dyDescent="0.25">
      <c r="A323" t="s">
        <v>322</v>
      </c>
      <c r="B323" s="1">
        <v>45637</v>
      </c>
      <c r="C323">
        <f t="shared" si="8"/>
        <v>2024</v>
      </c>
      <c r="D323" t="str">
        <f t="shared" si="9"/>
        <v>December</v>
      </c>
      <c r="E323" t="str">
        <f t="shared" si="7"/>
        <v>Week2</v>
      </c>
      <c r="F323" t="s">
        <v>1117</v>
      </c>
      <c r="G323" t="s">
        <v>1198</v>
      </c>
      <c r="H323">
        <v>8500</v>
      </c>
      <c r="I323" t="s">
        <v>1029</v>
      </c>
      <c r="J323" t="s">
        <v>1030</v>
      </c>
      <c r="K323" t="s">
        <v>1031</v>
      </c>
    </row>
    <row r="324" spans="1:11" x14ac:dyDescent="0.25">
      <c r="A324" t="s">
        <v>323</v>
      </c>
      <c r="B324" s="1">
        <v>45637</v>
      </c>
      <c r="C324">
        <f t="shared" si="8"/>
        <v>2024</v>
      </c>
      <c r="D324" t="str">
        <f t="shared" si="9"/>
        <v>December</v>
      </c>
      <c r="E324" t="str">
        <f t="shared" si="7"/>
        <v>Week2</v>
      </c>
      <c r="F324" t="s">
        <v>1025</v>
      </c>
      <c r="G324" t="s">
        <v>1014</v>
      </c>
      <c r="H324">
        <v>5000</v>
      </c>
      <c r="I324" t="s">
        <v>1027</v>
      </c>
      <c r="J324" t="s">
        <v>1030</v>
      </c>
      <c r="K324" t="s">
        <v>1031</v>
      </c>
    </row>
    <row r="325" spans="1:11" x14ac:dyDescent="0.25">
      <c r="A325" t="s">
        <v>324</v>
      </c>
      <c r="B325" s="1">
        <v>45638</v>
      </c>
      <c r="C325">
        <f t="shared" si="8"/>
        <v>2024</v>
      </c>
      <c r="D325" t="str">
        <f t="shared" si="9"/>
        <v>December</v>
      </c>
      <c r="E325" t="str">
        <f t="shared" si="7"/>
        <v>Week2</v>
      </c>
      <c r="F325" t="s">
        <v>1018</v>
      </c>
      <c r="G325" t="s">
        <v>1013</v>
      </c>
      <c r="H325">
        <v>3000</v>
      </c>
      <c r="I325" t="s">
        <v>1027</v>
      </c>
      <c r="J325" t="s">
        <v>1030</v>
      </c>
      <c r="K325" t="s">
        <v>1031</v>
      </c>
    </row>
    <row r="326" spans="1:11" x14ac:dyDescent="0.25">
      <c r="A326" t="s">
        <v>325</v>
      </c>
      <c r="B326" s="1">
        <v>45643</v>
      </c>
      <c r="C326">
        <f t="shared" si="8"/>
        <v>2024</v>
      </c>
      <c r="D326" t="str">
        <f t="shared" si="9"/>
        <v>December</v>
      </c>
      <c r="E326" t="str">
        <f t="shared" si="7"/>
        <v>Week3</v>
      </c>
      <c r="F326" t="s">
        <v>1052</v>
      </c>
      <c r="G326" t="s">
        <v>1198</v>
      </c>
      <c r="H326">
        <v>5000</v>
      </c>
      <c r="I326" t="s">
        <v>1029</v>
      </c>
      <c r="J326" t="s">
        <v>1030</v>
      </c>
      <c r="K326" t="s">
        <v>1031</v>
      </c>
    </row>
    <row r="327" spans="1:11" x14ac:dyDescent="0.25">
      <c r="A327" t="s">
        <v>326</v>
      </c>
      <c r="B327" s="1">
        <v>45645</v>
      </c>
      <c r="C327">
        <f t="shared" si="8"/>
        <v>2024</v>
      </c>
      <c r="D327" t="str">
        <f t="shared" si="9"/>
        <v>December</v>
      </c>
      <c r="E327" t="str">
        <f t="shared" si="7"/>
        <v>Week3</v>
      </c>
      <c r="F327" t="s">
        <v>1118</v>
      </c>
      <c r="G327" t="s">
        <v>1198</v>
      </c>
      <c r="H327">
        <v>8000</v>
      </c>
      <c r="I327" t="s">
        <v>1029</v>
      </c>
      <c r="J327" t="s">
        <v>1030</v>
      </c>
      <c r="K327" t="s">
        <v>1031</v>
      </c>
    </row>
    <row r="328" spans="1:11" x14ac:dyDescent="0.25">
      <c r="A328" t="s">
        <v>327</v>
      </c>
      <c r="B328" s="1">
        <v>45646</v>
      </c>
      <c r="C328">
        <f t="shared" si="8"/>
        <v>2024</v>
      </c>
      <c r="D328" t="str">
        <f t="shared" si="9"/>
        <v>December</v>
      </c>
      <c r="E328" t="str">
        <f t="shared" si="7"/>
        <v>Week3</v>
      </c>
      <c r="F328" t="s">
        <v>1113</v>
      </c>
      <c r="G328" t="s">
        <v>1010</v>
      </c>
      <c r="H328">
        <v>7000</v>
      </c>
      <c r="I328" t="s">
        <v>1027</v>
      </c>
      <c r="J328" t="s">
        <v>1030</v>
      </c>
      <c r="K328" t="s">
        <v>1031</v>
      </c>
    </row>
    <row r="329" spans="1:11" x14ac:dyDescent="0.25">
      <c r="A329" t="s">
        <v>328</v>
      </c>
      <c r="B329" s="1">
        <v>45646</v>
      </c>
      <c r="C329">
        <f t="shared" si="8"/>
        <v>2024</v>
      </c>
      <c r="D329" t="str">
        <f t="shared" si="9"/>
        <v>December</v>
      </c>
      <c r="E329" t="str">
        <f t="shared" si="7"/>
        <v>Week3</v>
      </c>
      <c r="F329" t="s">
        <v>1023</v>
      </c>
      <c r="G329" t="s">
        <v>1201</v>
      </c>
      <c r="H329">
        <v>7000</v>
      </c>
      <c r="I329" t="s">
        <v>1029</v>
      </c>
      <c r="J329" t="s">
        <v>1030</v>
      </c>
      <c r="K329" t="s">
        <v>1031</v>
      </c>
    </row>
    <row r="330" spans="1:11" x14ac:dyDescent="0.25">
      <c r="A330" t="s">
        <v>329</v>
      </c>
      <c r="B330" s="1">
        <v>45647</v>
      </c>
      <c r="C330">
        <f t="shared" si="8"/>
        <v>2024</v>
      </c>
      <c r="D330" t="str">
        <f t="shared" si="9"/>
        <v>December</v>
      </c>
      <c r="E330" t="str">
        <f t="shared" si="7"/>
        <v>Week3</v>
      </c>
      <c r="F330" t="s">
        <v>1018</v>
      </c>
      <c r="G330" t="s">
        <v>1013</v>
      </c>
      <c r="H330">
        <v>3000</v>
      </c>
      <c r="I330" t="s">
        <v>1027</v>
      </c>
      <c r="J330" t="s">
        <v>1030</v>
      </c>
      <c r="K330" t="s">
        <v>1031</v>
      </c>
    </row>
    <row r="331" spans="1:11" x14ac:dyDescent="0.25">
      <c r="A331" t="s">
        <v>330</v>
      </c>
      <c r="B331" s="1">
        <v>45649</v>
      </c>
      <c r="C331">
        <f t="shared" si="8"/>
        <v>2024</v>
      </c>
      <c r="D331" t="str">
        <f t="shared" si="9"/>
        <v>December</v>
      </c>
      <c r="E331" t="str">
        <f t="shared" si="7"/>
        <v>Week4</v>
      </c>
      <c r="F331" t="s">
        <v>1025</v>
      </c>
      <c r="G331" t="s">
        <v>1014</v>
      </c>
      <c r="H331">
        <v>5000</v>
      </c>
      <c r="I331" t="s">
        <v>1027</v>
      </c>
      <c r="J331" t="s">
        <v>1030</v>
      </c>
      <c r="K331" t="s">
        <v>1031</v>
      </c>
    </row>
    <row r="332" spans="1:11" x14ac:dyDescent="0.25">
      <c r="A332" t="s">
        <v>331</v>
      </c>
      <c r="B332" s="1">
        <v>45650</v>
      </c>
      <c r="C332">
        <f t="shared" si="8"/>
        <v>2024</v>
      </c>
      <c r="D332" t="str">
        <f t="shared" si="9"/>
        <v>December</v>
      </c>
      <c r="E332" t="str">
        <f t="shared" si="7"/>
        <v>Week4</v>
      </c>
      <c r="F332" t="s">
        <v>1102</v>
      </c>
      <c r="G332" t="s">
        <v>1011</v>
      </c>
      <c r="H332">
        <v>25000</v>
      </c>
      <c r="I332" t="s">
        <v>1027</v>
      </c>
      <c r="J332" t="s">
        <v>1030</v>
      </c>
      <c r="K332" t="s">
        <v>1031</v>
      </c>
    </row>
    <row r="333" spans="1:11" x14ac:dyDescent="0.25">
      <c r="A333" t="s">
        <v>332</v>
      </c>
      <c r="B333" s="1">
        <v>45653</v>
      </c>
      <c r="C333">
        <f t="shared" si="8"/>
        <v>2024</v>
      </c>
      <c r="D333" t="str">
        <f t="shared" si="9"/>
        <v>December</v>
      </c>
      <c r="E333" t="str">
        <f t="shared" si="7"/>
        <v>Week4</v>
      </c>
      <c r="F333" t="s">
        <v>1119</v>
      </c>
      <c r="G333" t="s">
        <v>1011</v>
      </c>
      <c r="H333">
        <v>27000</v>
      </c>
      <c r="I333" t="s">
        <v>1027</v>
      </c>
      <c r="J333" t="s">
        <v>1030</v>
      </c>
      <c r="K333" t="s">
        <v>1031</v>
      </c>
    </row>
    <row r="334" spans="1:11" x14ac:dyDescent="0.25">
      <c r="A334" t="s">
        <v>333</v>
      </c>
      <c r="B334" s="1">
        <v>45656</v>
      </c>
      <c r="C334">
        <f t="shared" si="8"/>
        <v>2024</v>
      </c>
      <c r="D334" t="str">
        <f t="shared" si="9"/>
        <v>December</v>
      </c>
      <c r="E334" t="str">
        <f t="shared" si="7"/>
        <v>Week5</v>
      </c>
      <c r="F334" t="s">
        <v>1056</v>
      </c>
      <c r="G334" t="s">
        <v>1198</v>
      </c>
      <c r="H334">
        <v>5500</v>
      </c>
      <c r="I334" t="s">
        <v>1027</v>
      </c>
      <c r="J334" t="s">
        <v>1030</v>
      </c>
      <c r="K334" t="s">
        <v>1031</v>
      </c>
    </row>
    <row r="335" spans="1:11" x14ac:dyDescent="0.25">
      <c r="A335" t="s">
        <v>334</v>
      </c>
      <c r="B335" s="1">
        <v>45629</v>
      </c>
      <c r="C335">
        <f t="shared" si="8"/>
        <v>2024</v>
      </c>
      <c r="D335" t="str">
        <f t="shared" si="9"/>
        <v>December</v>
      </c>
      <c r="E335" t="str">
        <f t="shared" si="7"/>
        <v>Week1</v>
      </c>
      <c r="F335" t="s">
        <v>1018</v>
      </c>
      <c r="G335" t="s">
        <v>1013</v>
      </c>
      <c r="H335">
        <v>3000</v>
      </c>
      <c r="I335" t="s">
        <v>1027</v>
      </c>
      <c r="J335" t="s">
        <v>1030</v>
      </c>
      <c r="K335" t="s">
        <v>1031</v>
      </c>
    </row>
    <row r="336" spans="1:11" x14ac:dyDescent="0.25">
      <c r="A336" t="s">
        <v>335</v>
      </c>
      <c r="B336" s="1">
        <v>45659</v>
      </c>
      <c r="C336">
        <f t="shared" si="8"/>
        <v>2025</v>
      </c>
      <c r="D336" t="str">
        <f t="shared" si="9"/>
        <v>January</v>
      </c>
      <c r="E336" t="str">
        <f t="shared" si="7"/>
        <v>Week1</v>
      </c>
      <c r="F336" t="s">
        <v>1018</v>
      </c>
      <c r="G336" t="s">
        <v>1013</v>
      </c>
      <c r="H336">
        <v>5000</v>
      </c>
      <c r="I336" t="s">
        <v>1027</v>
      </c>
      <c r="J336" t="s">
        <v>1030</v>
      </c>
      <c r="K336" t="s">
        <v>1031</v>
      </c>
    </row>
    <row r="337" spans="1:11" x14ac:dyDescent="0.25">
      <c r="A337" t="s">
        <v>336</v>
      </c>
      <c r="B337" s="1">
        <v>45660</v>
      </c>
      <c r="C337">
        <f t="shared" si="8"/>
        <v>2025</v>
      </c>
      <c r="D337" t="str">
        <f t="shared" si="9"/>
        <v>January</v>
      </c>
      <c r="E337" t="str">
        <f t="shared" si="7"/>
        <v>Week1</v>
      </c>
      <c r="F337" t="s">
        <v>1049</v>
      </c>
      <c r="G337" t="s">
        <v>1199</v>
      </c>
      <c r="H337">
        <v>20000</v>
      </c>
      <c r="I337" t="s">
        <v>1027</v>
      </c>
      <c r="J337" t="s">
        <v>1030</v>
      </c>
      <c r="K337" t="s">
        <v>1031</v>
      </c>
    </row>
    <row r="338" spans="1:11" x14ac:dyDescent="0.25">
      <c r="A338" t="s">
        <v>337</v>
      </c>
      <c r="B338" s="1">
        <v>45663</v>
      </c>
      <c r="C338">
        <f t="shared" si="8"/>
        <v>2025</v>
      </c>
      <c r="D338" t="str">
        <f t="shared" si="9"/>
        <v>January</v>
      </c>
      <c r="E338" t="str">
        <f t="shared" si="7"/>
        <v>Week1</v>
      </c>
      <c r="F338" t="s">
        <v>1035</v>
      </c>
      <c r="G338" t="s">
        <v>1197</v>
      </c>
      <c r="H338">
        <v>13000</v>
      </c>
      <c r="I338" t="s">
        <v>1027</v>
      </c>
      <c r="J338" t="s">
        <v>1030</v>
      </c>
      <c r="K338" t="s">
        <v>1031</v>
      </c>
    </row>
    <row r="339" spans="1:11" x14ac:dyDescent="0.25">
      <c r="A339" t="s">
        <v>338</v>
      </c>
      <c r="B339" s="1">
        <v>45663</v>
      </c>
      <c r="C339">
        <f t="shared" si="8"/>
        <v>2025</v>
      </c>
      <c r="D339" t="str">
        <f t="shared" si="9"/>
        <v>January</v>
      </c>
      <c r="E339" t="str">
        <f t="shared" si="7"/>
        <v>Week1</v>
      </c>
      <c r="F339" t="s">
        <v>1037</v>
      </c>
      <c r="G339" t="s">
        <v>1199</v>
      </c>
      <c r="H339">
        <v>20000</v>
      </c>
      <c r="I339" t="s">
        <v>1027</v>
      </c>
      <c r="J339" t="s">
        <v>1030</v>
      </c>
      <c r="K339" t="s">
        <v>1031</v>
      </c>
    </row>
    <row r="340" spans="1:11" x14ac:dyDescent="0.25">
      <c r="A340" t="s">
        <v>339</v>
      </c>
      <c r="B340" s="1">
        <v>45663</v>
      </c>
      <c r="C340">
        <f t="shared" si="8"/>
        <v>2025</v>
      </c>
      <c r="D340" t="str">
        <f t="shared" si="9"/>
        <v>January</v>
      </c>
      <c r="E340" t="str">
        <f t="shared" si="7"/>
        <v>Week1</v>
      </c>
      <c r="F340" t="s">
        <v>1120</v>
      </c>
      <c r="G340" t="s">
        <v>1014</v>
      </c>
      <c r="H340">
        <v>3000</v>
      </c>
      <c r="I340" t="s">
        <v>1027</v>
      </c>
      <c r="J340" t="s">
        <v>1030</v>
      </c>
      <c r="K340" t="s">
        <v>1031</v>
      </c>
    </row>
    <row r="341" spans="1:11" x14ac:dyDescent="0.25">
      <c r="A341" t="s">
        <v>340</v>
      </c>
      <c r="B341" s="1">
        <v>45665</v>
      </c>
      <c r="C341">
        <f t="shared" si="8"/>
        <v>2025</v>
      </c>
      <c r="D341" t="str">
        <f t="shared" si="9"/>
        <v>January</v>
      </c>
      <c r="E341" t="str">
        <f t="shared" si="7"/>
        <v>Week2</v>
      </c>
      <c r="F341" t="s">
        <v>1033</v>
      </c>
      <c r="G341" t="s">
        <v>1014</v>
      </c>
      <c r="H341">
        <v>108930</v>
      </c>
      <c r="I341" t="s">
        <v>1028</v>
      </c>
      <c r="J341" t="s">
        <v>1030</v>
      </c>
      <c r="K341" t="s">
        <v>1031</v>
      </c>
    </row>
    <row r="342" spans="1:11" x14ac:dyDescent="0.25">
      <c r="A342" t="s">
        <v>341</v>
      </c>
      <c r="B342" s="1">
        <v>45659</v>
      </c>
      <c r="C342">
        <f t="shared" si="8"/>
        <v>2025</v>
      </c>
      <c r="D342" t="str">
        <f t="shared" si="9"/>
        <v>January</v>
      </c>
      <c r="E342" t="str">
        <f t="shared" si="7"/>
        <v>Week1</v>
      </c>
      <c r="F342" t="s">
        <v>1102</v>
      </c>
      <c r="G342" t="s">
        <v>1011</v>
      </c>
      <c r="H342">
        <v>23000</v>
      </c>
      <c r="I342" t="s">
        <v>1027</v>
      </c>
      <c r="J342" t="s">
        <v>1030</v>
      </c>
      <c r="K342" t="s">
        <v>1031</v>
      </c>
    </row>
    <row r="343" spans="1:11" x14ac:dyDescent="0.25">
      <c r="A343" t="s">
        <v>342</v>
      </c>
      <c r="B343" s="1">
        <v>45670</v>
      </c>
      <c r="C343">
        <f t="shared" si="8"/>
        <v>2025</v>
      </c>
      <c r="D343" t="str">
        <f t="shared" si="9"/>
        <v>January</v>
      </c>
      <c r="E343" t="str">
        <f t="shared" si="7"/>
        <v>Week2</v>
      </c>
      <c r="F343" t="s">
        <v>1121</v>
      </c>
      <c r="G343" t="s">
        <v>1010</v>
      </c>
      <c r="H343">
        <v>16000</v>
      </c>
      <c r="I343" t="s">
        <v>1028</v>
      </c>
      <c r="J343" t="s">
        <v>1030</v>
      </c>
      <c r="K343" t="s">
        <v>1031</v>
      </c>
    </row>
    <row r="344" spans="1:11" x14ac:dyDescent="0.25">
      <c r="A344" t="s">
        <v>343</v>
      </c>
      <c r="B344" s="1">
        <v>45670</v>
      </c>
      <c r="C344">
        <f t="shared" si="8"/>
        <v>2025</v>
      </c>
      <c r="D344" t="str">
        <f t="shared" si="9"/>
        <v>January</v>
      </c>
      <c r="E344" t="str">
        <f t="shared" si="7"/>
        <v>Week2</v>
      </c>
      <c r="F344" t="s">
        <v>1035</v>
      </c>
      <c r="G344" t="s">
        <v>1197</v>
      </c>
      <c r="H344">
        <v>13000</v>
      </c>
      <c r="I344" t="s">
        <v>1027</v>
      </c>
      <c r="J344" t="s">
        <v>1030</v>
      </c>
      <c r="K344" t="s">
        <v>1031</v>
      </c>
    </row>
    <row r="345" spans="1:11" x14ac:dyDescent="0.25">
      <c r="A345" t="s">
        <v>344</v>
      </c>
      <c r="B345" s="1">
        <v>45670</v>
      </c>
      <c r="C345">
        <f t="shared" si="8"/>
        <v>2025</v>
      </c>
      <c r="D345" t="str">
        <f t="shared" si="9"/>
        <v>January</v>
      </c>
      <c r="E345" t="str">
        <f t="shared" si="7"/>
        <v>Week2</v>
      </c>
      <c r="F345" t="s">
        <v>1040</v>
      </c>
      <c r="G345" t="s">
        <v>1199</v>
      </c>
      <c r="H345">
        <v>20000</v>
      </c>
      <c r="I345" t="s">
        <v>1027</v>
      </c>
      <c r="J345" t="s">
        <v>1030</v>
      </c>
      <c r="K345" t="s">
        <v>1031</v>
      </c>
    </row>
    <row r="346" spans="1:11" x14ac:dyDescent="0.25">
      <c r="A346" t="s">
        <v>345</v>
      </c>
      <c r="B346" s="1">
        <v>45671</v>
      </c>
      <c r="C346">
        <f t="shared" si="8"/>
        <v>2025</v>
      </c>
      <c r="D346" t="str">
        <f t="shared" si="9"/>
        <v>January</v>
      </c>
      <c r="E346" t="str">
        <f t="shared" si="7"/>
        <v>Week2</v>
      </c>
      <c r="F346" t="s">
        <v>1035</v>
      </c>
      <c r="G346" t="s">
        <v>1197</v>
      </c>
      <c r="H346">
        <v>7500</v>
      </c>
      <c r="I346" t="s">
        <v>1029</v>
      </c>
      <c r="J346" t="s">
        <v>1030</v>
      </c>
      <c r="K346" t="s">
        <v>1031</v>
      </c>
    </row>
    <row r="347" spans="1:11" x14ac:dyDescent="0.25">
      <c r="A347" t="s">
        <v>346</v>
      </c>
      <c r="B347" s="1">
        <v>45671</v>
      </c>
      <c r="C347">
        <f t="shared" si="8"/>
        <v>2025</v>
      </c>
      <c r="D347" t="str">
        <f t="shared" si="9"/>
        <v>January</v>
      </c>
      <c r="E347" t="str">
        <f t="shared" si="7"/>
        <v>Week2</v>
      </c>
      <c r="F347" t="s">
        <v>1122</v>
      </c>
      <c r="G347" t="s">
        <v>1010</v>
      </c>
      <c r="H347">
        <v>8000</v>
      </c>
      <c r="I347" t="s">
        <v>1027</v>
      </c>
      <c r="J347" t="s">
        <v>1030</v>
      </c>
      <c r="K347" t="s">
        <v>1031</v>
      </c>
    </row>
    <row r="348" spans="1:11" x14ac:dyDescent="0.25">
      <c r="A348" t="s">
        <v>347</v>
      </c>
      <c r="B348" s="1">
        <v>45672</v>
      </c>
      <c r="C348">
        <f t="shared" si="8"/>
        <v>2025</v>
      </c>
      <c r="D348" t="str">
        <f t="shared" si="9"/>
        <v>January</v>
      </c>
      <c r="E348" t="str">
        <f t="shared" si="7"/>
        <v>Week3</v>
      </c>
      <c r="F348" t="s">
        <v>1025</v>
      </c>
      <c r="G348" t="s">
        <v>1014</v>
      </c>
      <c r="H348">
        <v>5000</v>
      </c>
      <c r="I348" t="s">
        <v>1027</v>
      </c>
      <c r="J348" t="s">
        <v>1030</v>
      </c>
      <c r="K348" t="s">
        <v>1031</v>
      </c>
    </row>
    <row r="349" spans="1:11" x14ac:dyDescent="0.25">
      <c r="A349" t="s">
        <v>348</v>
      </c>
      <c r="B349" s="1">
        <v>45671</v>
      </c>
      <c r="C349">
        <f t="shared" si="8"/>
        <v>2025</v>
      </c>
      <c r="D349" t="str">
        <f t="shared" si="9"/>
        <v>January</v>
      </c>
      <c r="E349" t="str">
        <f t="shared" si="7"/>
        <v>Week2</v>
      </c>
      <c r="F349" t="s">
        <v>1018</v>
      </c>
      <c r="G349" t="s">
        <v>1013</v>
      </c>
      <c r="H349">
        <v>3000</v>
      </c>
      <c r="I349" t="s">
        <v>1027</v>
      </c>
      <c r="J349" t="s">
        <v>1030</v>
      </c>
      <c r="K349" t="s">
        <v>1031</v>
      </c>
    </row>
    <row r="350" spans="1:11" x14ac:dyDescent="0.25">
      <c r="A350" t="s">
        <v>349</v>
      </c>
      <c r="B350" s="1">
        <v>45677</v>
      </c>
      <c r="C350">
        <f t="shared" si="8"/>
        <v>2025</v>
      </c>
      <c r="D350" t="str">
        <f t="shared" si="9"/>
        <v>January</v>
      </c>
      <c r="E350" t="str">
        <f t="shared" si="7"/>
        <v>Week3</v>
      </c>
      <c r="F350" t="s">
        <v>1035</v>
      </c>
      <c r="G350" t="s">
        <v>1197</v>
      </c>
      <c r="H350">
        <v>13000</v>
      </c>
      <c r="I350" t="s">
        <v>1027</v>
      </c>
      <c r="J350" t="s">
        <v>1030</v>
      </c>
      <c r="K350" t="s">
        <v>1031</v>
      </c>
    </row>
    <row r="351" spans="1:11" x14ac:dyDescent="0.25">
      <c r="A351" t="s">
        <v>350</v>
      </c>
      <c r="B351" s="1">
        <v>45677</v>
      </c>
      <c r="C351">
        <f t="shared" si="8"/>
        <v>2025</v>
      </c>
      <c r="D351" t="str">
        <f t="shared" si="9"/>
        <v>January</v>
      </c>
      <c r="E351" t="str">
        <f t="shared" si="7"/>
        <v>Week3</v>
      </c>
      <c r="F351" t="s">
        <v>1070</v>
      </c>
      <c r="G351" t="s">
        <v>1010</v>
      </c>
      <c r="H351">
        <v>6000</v>
      </c>
      <c r="I351" t="s">
        <v>1027</v>
      </c>
      <c r="J351" t="s">
        <v>1030</v>
      </c>
      <c r="K351" t="s">
        <v>1031</v>
      </c>
    </row>
    <row r="352" spans="1:11" x14ac:dyDescent="0.25">
      <c r="A352" t="s">
        <v>351</v>
      </c>
      <c r="B352" s="1">
        <v>45677</v>
      </c>
      <c r="C352">
        <f t="shared" si="8"/>
        <v>2025</v>
      </c>
      <c r="D352" t="str">
        <f t="shared" si="9"/>
        <v>January</v>
      </c>
      <c r="E352" t="str">
        <f t="shared" si="7"/>
        <v>Week3</v>
      </c>
      <c r="F352" t="s">
        <v>1094</v>
      </c>
      <c r="G352" t="s">
        <v>1198</v>
      </c>
      <c r="H352">
        <v>3000</v>
      </c>
      <c r="I352" t="s">
        <v>1029</v>
      </c>
      <c r="J352" t="s">
        <v>1030</v>
      </c>
      <c r="K352" t="s">
        <v>1031</v>
      </c>
    </row>
    <row r="353" spans="1:11" x14ac:dyDescent="0.25">
      <c r="A353" t="s">
        <v>352</v>
      </c>
      <c r="B353" s="1">
        <v>45678</v>
      </c>
      <c r="C353">
        <f t="shared" si="8"/>
        <v>2025</v>
      </c>
      <c r="D353" t="str">
        <f t="shared" si="9"/>
        <v>January</v>
      </c>
      <c r="E353" t="str">
        <f t="shared" si="7"/>
        <v>Week3</v>
      </c>
      <c r="F353" t="s">
        <v>1018</v>
      </c>
      <c r="G353" t="s">
        <v>1013</v>
      </c>
      <c r="H353">
        <v>4000</v>
      </c>
      <c r="I353" t="s">
        <v>1027</v>
      </c>
      <c r="J353" t="s">
        <v>1030</v>
      </c>
      <c r="K353" t="s">
        <v>1031</v>
      </c>
    </row>
    <row r="354" spans="1:11" x14ac:dyDescent="0.25">
      <c r="A354" t="s">
        <v>353</v>
      </c>
      <c r="B354" s="1">
        <v>45678</v>
      </c>
      <c r="C354">
        <f t="shared" si="8"/>
        <v>2025</v>
      </c>
      <c r="D354" t="str">
        <f t="shared" si="9"/>
        <v>January</v>
      </c>
      <c r="E354" t="str">
        <f t="shared" si="7"/>
        <v>Week3</v>
      </c>
      <c r="F354" t="s">
        <v>1123</v>
      </c>
      <c r="G354" t="s">
        <v>1010</v>
      </c>
      <c r="H354">
        <v>3000</v>
      </c>
      <c r="I354" t="s">
        <v>1029</v>
      </c>
      <c r="J354" t="s">
        <v>1030</v>
      </c>
      <c r="K354" t="s">
        <v>1031</v>
      </c>
    </row>
    <row r="355" spans="1:11" x14ac:dyDescent="0.25">
      <c r="A355" t="s">
        <v>354</v>
      </c>
      <c r="B355" s="1">
        <v>45680</v>
      </c>
      <c r="C355">
        <f t="shared" si="8"/>
        <v>2025</v>
      </c>
      <c r="D355" t="str">
        <f t="shared" si="9"/>
        <v>January</v>
      </c>
      <c r="E355" t="str">
        <f t="shared" si="7"/>
        <v>Week4</v>
      </c>
      <c r="F355" t="s">
        <v>1124</v>
      </c>
      <c r="G355" t="s">
        <v>1010</v>
      </c>
      <c r="H355">
        <v>6000</v>
      </c>
      <c r="I355" t="s">
        <v>1027</v>
      </c>
      <c r="J355" t="s">
        <v>1030</v>
      </c>
      <c r="K355" t="s">
        <v>1031</v>
      </c>
    </row>
    <row r="356" spans="1:11" x14ac:dyDescent="0.25">
      <c r="A356" t="s">
        <v>355</v>
      </c>
      <c r="B356" s="1">
        <v>45684</v>
      </c>
      <c r="C356">
        <f t="shared" si="8"/>
        <v>2025</v>
      </c>
      <c r="D356" t="str">
        <f t="shared" si="9"/>
        <v>January</v>
      </c>
      <c r="E356" t="str">
        <f t="shared" si="7"/>
        <v>Week4</v>
      </c>
      <c r="F356" t="s">
        <v>1045</v>
      </c>
      <c r="G356" t="s">
        <v>1197</v>
      </c>
      <c r="H356">
        <v>64000</v>
      </c>
      <c r="I356" t="s">
        <v>1027</v>
      </c>
      <c r="J356" t="s">
        <v>1030</v>
      </c>
      <c r="K356" t="s">
        <v>1031</v>
      </c>
    </row>
    <row r="357" spans="1:11" x14ac:dyDescent="0.25">
      <c r="A357" t="s">
        <v>356</v>
      </c>
      <c r="B357" s="1">
        <v>45684</v>
      </c>
      <c r="C357">
        <f t="shared" si="8"/>
        <v>2025</v>
      </c>
      <c r="D357" t="str">
        <f t="shared" si="9"/>
        <v>January</v>
      </c>
      <c r="E357" t="str">
        <f t="shared" si="7"/>
        <v>Week4</v>
      </c>
      <c r="F357" t="s">
        <v>1125</v>
      </c>
      <c r="G357" t="s">
        <v>1012</v>
      </c>
      <c r="H357">
        <v>76000</v>
      </c>
      <c r="I357" t="s">
        <v>1027</v>
      </c>
      <c r="J357" t="s">
        <v>1030</v>
      </c>
      <c r="K357" t="s">
        <v>1031</v>
      </c>
    </row>
    <row r="358" spans="1:11" x14ac:dyDescent="0.25">
      <c r="A358" t="s">
        <v>357</v>
      </c>
      <c r="B358" s="1">
        <v>45684</v>
      </c>
      <c r="C358">
        <f t="shared" si="8"/>
        <v>2025</v>
      </c>
      <c r="D358" t="str">
        <f t="shared" si="9"/>
        <v>January</v>
      </c>
      <c r="E358" t="str">
        <f t="shared" si="7"/>
        <v>Week4</v>
      </c>
      <c r="F358" t="s">
        <v>1126</v>
      </c>
      <c r="G358" t="s">
        <v>1198</v>
      </c>
      <c r="H358">
        <v>10500</v>
      </c>
      <c r="I358" t="s">
        <v>1027</v>
      </c>
      <c r="J358" t="s">
        <v>1030</v>
      </c>
      <c r="K358" t="s">
        <v>1031</v>
      </c>
    </row>
    <row r="359" spans="1:11" x14ac:dyDescent="0.25">
      <c r="A359" t="s">
        <v>358</v>
      </c>
      <c r="B359" s="1">
        <v>45686</v>
      </c>
      <c r="C359">
        <f t="shared" si="8"/>
        <v>2025</v>
      </c>
      <c r="D359" t="str">
        <f t="shared" si="9"/>
        <v>January</v>
      </c>
      <c r="E359" t="str">
        <f t="shared" si="7"/>
        <v>Week5</v>
      </c>
      <c r="F359" t="s">
        <v>1127</v>
      </c>
      <c r="G359" t="s">
        <v>1014</v>
      </c>
      <c r="H359">
        <v>4500</v>
      </c>
      <c r="I359" t="s">
        <v>1028</v>
      </c>
      <c r="J359" t="s">
        <v>1030</v>
      </c>
      <c r="K359" t="s">
        <v>1031</v>
      </c>
    </row>
    <row r="360" spans="1:11" x14ac:dyDescent="0.25">
      <c r="A360" t="s">
        <v>359</v>
      </c>
      <c r="B360" s="1">
        <v>45686</v>
      </c>
      <c r="C360">
        <f t="shared" si="8"/>
        <v>2025</v>
      </c>
      <c r="D360" t="str">
        <f t="shared" si="9"/>
        <v>January</v>
      </c>
      <c r="E360" t="str">
        <f t="shared" si="7"/>
        <v>Week5</v>
      </c>
      <c r="F360" t="s">
        <v>1119</v>
      </c>
      <c r="G360" t="s">
        <v>1011</v>
      </c>
      <c r="H360">
        <v>26000</v>
      </c>
      <c r="I360" t="s">
        <v>1028</v>
      </c>
      <c r="J360" t="s">
        <v>1030</v>
      </c>
      <c r="K360" t="s">
        <v>1031</v>
      </c>
    </row>
    <row r="361" spans="1:11" x14ac:dyDescent="0.25">
      <c r="A361" t="s">
        <v>360</v>
      </c>
      <c r="B361" s="1">
        <v>45687</v>
      </c>
      <c r="C361">
        <f t="shared" si="8"/>
        <v>2025</v>
      </c>
      <c r="D361" t="str">
        <f t="shared" si="9"/>
        <v>January</v>
      </c>
      <c r="E361" t="str">
        <f t="shared" si="7"/>
        <v>Week5</v>
      </c>
      <c r="F361" t="s">
        <v>1025</v>
      </c>
      <c r="G361" t="s">
        <v>1014</v>
      </c>
      <c r="H361">
        <v>5000</v>
      </c>
      <c r="I361" t="s">
        <v>1027</v>
      </c>
      <c r="J361" t="s">
        <v>1030</v>
      </c>
      <c r="K361" t="s">
        <v>1031</v>
      </c>
    </row>
    <row r="362" spans="1:11" x14ac:dyDescent="0.25">
      <c r="A362" t="s">
        <v>361</v>
      </c>
      <c r="B362" s="1">
        <v>45688</v>
      </c>
      <c r="C362">
        <f t="shared" si="8"/>
        <v>2025</v>
      </c>
      <c r="D362" t="str">
        <f t="shared" si="9"/>
        <v>January</v>
      </c>
      <c r="E362" t="str">
        <f t="shared" si="7"/>
        <v>Week5</v>
      </c>
      <c r="F362" t="s">
        <v>1023</v>
      </c>
      <c r="G362" t="s">
        <v>1201</v>
      </c>
      <c r="H362">
        <v>10000</v>
      </c>
      <c r="I362" t="s">
        <v>1027</v>
      </c>
      <c r="J362" t="s">
        <v>1030</v>
      </c>
      <c r="K362" t="s">
        <v>1031</v>
      </c>
    </row>
    <row r="363" spans="1:11" x14ac:dyDescent="0.25">
      <c r="A363" t="s">
        <v>362</v>
      </c>
      <c r="B363" s="1">
        <v>45658</v>
      </c>
      <c r="C363">
        <f t="shared" si="8"/>
        <v>2025</v>
      </c>
      <c r="D363" t="str">
        <f t="shared" si="9"/>
        <v>January</v>
      </c>
      <c r="E363" t="str">
        <f t="shared" si="7"/>
        <v>Week1</v>
      </c>
      <c r="F363" t="s">
        <v>1018</v>
      </c>
      <c r="G363" t="s">
        <v>1013</v>
      </c>
      <c r="H363">
        <v>5000</v>
      </c>
      <c r="I363" t="s">
        <v>1027</v>
      </c>
      <c r="J363" t="s">
        <v>1030</v>
      </c>
      <c r="K363" t="s">
        <v>1031</v>
      </c>
    </row>
    <row r="364" spans="1:11" x14ac:dyDescent="0.25">
      <c r="A364" t="s">
        <v>363</v>
      </c>
      <c r="B364" s="1">
        <v>45677</v>
      </c>
      <c r="C364">
        <f t="shared" si="8"/>
        <v>2025</v>
      </c>
      <c r="D364" t="str">
        <f t="shared" si="9"/>
        <v>January</v>
      </c>
      <c r="E364" t="str">
        <f t="shared" si="7"/>
        <v>Week3</v>
      </c>
      <c r="F364" t="s">
        <v>1120</v>
      </c>
      <c r="G364" t="s">
        <v>1014</v>
      </c>
      <c r="H364">
        <v>3000</v>
      </c>
      <c r="I364" t="s">
        <v>1027</v>
      </c>
      <c r="J364" t="s">
        <v>1030</v>
      </c>
      <c r="K364" t="s">
        <v>1031</v>
      </c>
    </row>
    <row r="365" spans="1:11" x14ac:dyDescent="0.25">
      <c r="A365" t="s">
        <v>364</v>
      </c>
      <c r="B365" s="1">
        <v>45691</v>
      </c>
      <c r="C365">
        <f t="shared" si="8"/>
        <v>2025</v>
      </c>
      <c r="D365" t="str">
        <f t="shared" si="9"/>
        <v>February</v>
      </c>
      <c r="E365" t="str">
        <f t="shared" si="7"/>
        <v>Week1</v>
      </c>
      <c r="F365" t="s">
        <v>1035</v>
      </c>
      <c r="G365" t="s">
        <v>1197</v>
      </c>
      <c r="H365">
        <v>13000</v>
      </c>
      <c r="I365" t="s">
        <v>1027</v>
      </c>
      <c r="J365" t="s">
        <v>1030</v>
      </c>
      <c r="K365" t="s">
        <v>1031</v>
      </c>
    </row>
    <row r="366" spans="1:11" x14ac:dyDescent="0.25">
      <c r="A366" t="s">
        <v>365</v>
      </c>
      <c r="B366" s="1">
        <v>45691</v>
      </c>
      <c r="C366">
        <f t="shared" si="8"/>
        <v>2025</v>
      </c>
      <c r="D366" t="str">
        <f t="shared" si="9"/>
        <v>February</v>
      </c>
      <c r="E366" t="str">
        <f t="shared" si="7"/>
        <v>Week1</v>
      </c>
      <c r="F366" t="s">
        <v>1128</v>
      </c>
      <c r="G366" t="s">
        <v>1015</v>
      </c>
      <c r="H366">
        <v>5000</v>
      </c>
      <c r="I366" t="s">
        <v>1029</v>
      </c>
      <c r="J366" t="s">
        <v>1030</v>
      </c>
      <c r="K366" t="s">
        <v>1031</v>
      </c>
    </row>
    <row r="367" spans="1:11" x14ac:dyDescent="0.25">
      <c r="A367" t="s">
        <v>366</v>
      </c>
      <c r="B367" s="1">
        <v>45691</v>
      </c>
      <c r="C367">
        <f t="shared" si="8"/>
        <v>2025</v>
      </c>
      <c r="D367" t="str">
        <f t="shared" si="9"/>
        <v>February</v>
      </c>
      <c r="E367" t="str">
        <f t="shared" si="7"/>
        <v>Week1</v>
      </c>
      <c r="F367" t="s">
        <v>1129</v>
      </c>
      <c r="G367" t="s">
        <v>1199</v>
      </c>
      <c r="H367">
        <v>20000</v>
      </c>
      <c r="I367" t="s">
        <v>1027</v>
      </c>
      <c r="J367" t="s">
        <v>1030</v>
      </c>
      <c r="K367" t="s">
        <v>1031</v>
      </c>
    </row>
    <row r="368" spans="1:11" x14ac:dyDescent="0.25">
      <c r="A368" t="s">
        <v>367</v>
      </c>
      <c r="B368" s="1">
        <v>45691</v>
      </c>
      <c r="C368">
        <f t="shared" si="8"/>
        <v>2025</v>
      </c>
      <c r="D368" t="str">
        <f t="shared" si="9"/>
        <v>February</v>
      </c>
      <c r="E368" t="str">
        <f t="shared" si="7"/>
        <v>Week1</v>
      </c>
      <c r="F368" t="s">
        <v>1119</v>
      </c>
      <c r="G368" t="s">
        <v>1011</v>
      </c>
      <c r="H368">
        <v>25000</v>
      </c>
      <c r="I368" t="s">
        <v>1027</v>
      </c>
      <c r="J368" t="s">
        <v>1030</v>
      </c>
      <c r="K368" t="s">
        <v>1031</v>
      </c>
    </row>
    <row r="369" spans="1:11" x14ac:dyDescent="0.25">
      <c r="A369" t="s">
        <v>368</v>
      </c>
      <c r="B369" s="1">
        <v>45691</v>
      </c>
      <c r="C369">
        <f t="shared" si="8"/>
        <v>2025</v>
      </c>
      <c r="D369" t="str">
        <f t="shared" si="9"/>
        <v>February</v>
      </c>
      <c r="E369" t="str">
        <f t="shared" si="7"/>
        <v>Week1</v>
      </c>
      <c r="F369" t="s">
        <v>1037</v>
      </c>
      <c r="G369" t="s">
        <v>1199</v>
      </c>
      <c r="H369">
        <v>20000</v>
      </c>
      <c r="I369" t="s">
        <v>1027</v>
      </c>
      <c r="J369" t="s">
        <v>1030</v>
      </c>
      <c r="K369" t="s">
        <v>1031</v>
      </c>
    </row>
    <row r="370" spans="1:11" x14ac:dyDescent="0.25">
      <c r="A370" t="s">
        <v>369</v>
      </c>
      <c r="B370" s="1">
        <v>45691</v>
      </c>
      <c r="C370">
        <f t="shared" si="8"/>
        <v>2025</v>
      </c>
      <c r="D370" t="str">
        <f t="shared" si="9"/>
        <v>February</v>
      </c>
      <c r="E370" t="str">
        <f t="shared" si="7"/>
        <v>Week1</v>
      </c>
      <c r="F370" t="s">
        <v>1098</v>
      </c>
      <c r="G370" t="s">
        <v>1015</v>
      </c>
      <c r="H370">
        <v>3000</v>
      </c>
      <c r="I370" t="s">
        <v>1027</v>
      </c>
      <c r="J370" t="s">
        <v>1030</v>
      </c>
      <c r="K370" t="s">
        <v>1031</v>
      </c>
    </row>
    <row r="371" spans="1:11" x14ac:dyDescent="0.25">
      <c r="A371" t="s">
        <v>370</v>
      </c>
      <c r="B371" s="1">
        <v>45692</v>
      </c>
      <c r="C371">
        <f t="shared" si="8"/>
        <v>2025</v>
      </c>
      <c r="D371" t="str">
        <f t="shared" si="9"/>
        <v>February</v>
      </c>
      <c r="E371" t="str">
        <f t="shared" si="7"/>
        <v>Week1</v>
      </c>
      <c r="F371" t="s">
        <v>1033</v>
      </c>
      <c r="G371" t="s">
        <v>1014</v>
      </c>
      <c r="H371">
        <v>101600</v>
      </c>
      <c r="I371" t="s">
        <v>1028</v>
      </c>
      <c r="J371" t="s">
        <v>1030</v>
      </c>
      <c r="K371" t="s">
        <v>1031</v>
      </c>
    </row>
    <row r="372" spans="1:11" x14ac:dyDescent="0.25">
      <c r="A372" t="s">
        <v>371</v>
      </c>
      <c r="B372" s="1">
        <v>45693</v>
      </c>
      <c r="C372">
        <f t="shared" si="8"/>
        <v>2025</v>
      </c>
      <c r="D372" t="str">
        <f t="shared" si="9"/>
        <v>February</v>
      </c>
      <c r="E372" t="str">
        <f t="shared" si="7"/>
        <v>Week1</v>
      </c>
      <c r="F372" t="s">
        <v>1130</v>
      </c>
      <c r="G372" t="s">
        <v>1198</v>
      </c>
      <c r="H372">
        <v>4000</v>
      </c>
      <c r="I372" t="s">
        <v>1029</v>
      </c>
      <c r="J372" t="s">
        <v>1030</v>
      </c>
      <c r="K372" t="s">
        <v>1031</v>
      </c>
    </row>
    <row r="373" spans="1:11" x14ac:dyDescent="0.25">
      <c r="A373" t="s">
        <v>372</v>
      </c>
      <c r="B373" s="1">
        <v>45705</v>
      </c>
      <c r="C373">
        <f t="shared" si="8"/>
        <v>2025</v>
      </c>
      <c r="D373" t="str">
        <f t="shared" si="9"/>
        <v>February</v>
      </c>
      <c r="E373" t="str">
        <f t="shared" si="7"/>
        <v>Week3</v>
      </c>
      <c r="F373" t="s">
        <v>1131</v>
      </c>
      <c r="G373" t="s">
        <v>1012</v>
      </c>
      <c r="H373">
        <v>3000</v>
      </c>
      <c r="I373" t="s">
        <v>1029</v>
      </c>
      <c r="J373" t="s">
        <v>1030</v>
      </c>
      <c r="K373" t="s">
        <v>1031</v>
      </c>
    </row>
    <row r="374" spans="1:11" x14ac:dyDescent="0.25">
      <c r="A374" t="s">
        <v>373</v>
      </c>
      <c r="B374" s="1">
        <v>45705</v>
      </c>
      <c r="C374">
        <f t="shared" si="8"/>
        <v>2025</v>
      </c>
      <c r="D374" t="str">
        <f t="shared" si="9"/>
        <v>February</v>
      </c>
      <c r="E374" t="str">
        <f t="shared" si="7"/>
        <v>Week3</v>
      </c>
      <c r="F374" t="s">
        <v>1035</v>
      </c>
      <c r="G374" t="s">
        <v>1197</v>
      </c>
      <c r="H374">
        <v>13000</v>
      </c>
      <c r="I374" t="s">
        <v>1027</v>
      </c>
      <c r="J374" t="s">
        <v>1030</v>
      </c>
      <c r="K374" t="s">
        <v>1031</v>
      </c>
    </row>
    <row r="375" spans="1:11" x14ac:dyDescent="0.25">
      <c r="A375" t="s">
        <v>374</v>
      </c>
      <c r="B375" s="1">
        <v>45705</v>
      </c>
      <c r="C375">
        <f t="shared" si="8"/>
        <v>2025</v>
      </c>
      <c r="D375" t="str">
        <f t="shared" si="9"/>
        <v>February</v>
      </c>
      <c r="E375" t="str">
        <f t="shared" si="7"/>
        <v>Week3</v>
      </c>
      <c r="F375" t="s">
        <v>1018</v>
      </c>
      <c r="G375" t="s">
        <v>1013</v>
      </c>
      <c r="H375">
        <v>3000</v>
      </c>
      <c r="I375" t="s">
        <v>1027</v>
      </c>
      <c r="J375" t="s">
        <v>1030</v>
      </c>
      <c r="K375" t="s">
        <v>1031</v>
      </c>
    </row>
    <row r="376" spans="1:11" x14ac:dyDescent="0.25">
      <c r="A376" t="s">
        <v>375</v>
      </c>
      <c r="B376" s="1">
        <v>45707</v>
      </c>
      <c r="C376">
        <f t="shared" si="8"/>
        <v>2025</v>
      </c>
      <c r="D376" t="str">
        <f t="shared" si="9"/>
        <v>February</v>
      </c>
      <c r="E376" t="str">
        <f t="shared" si="7"/>
        <v>Week3</v>
      </c>
      <c r="F376" t="s">
        <v>1132</v>
      </c>
      <c r="G376" t="s">
        <v>1012</v>
      </c>
      <c r="H376">
        <v>5000</v>
      </c>
      <c r="I376" t="s">
        <v>1027</v>
      </c>
      <c r="J376" t="s">
        <v>1030</v>
      </c>
      <c r="K376" t="s">
        <v>1031</v>
      </c>
    </row>
    <row r="377" spans="1:11" x14ac:dyDescent="0.25">
      <c r="A377" t="s">
        <v>376</v>
      </c>
      <c r="B377" s="1">
        <v>45707</v>
      </c>
      <c r="C377">
        <f t="shared" si="8"/>
        <v>2025</v>
      </c>
      <c r="D377" t="str">
        <f t="shared" si="9"/>
        <v>February</v>
      </c>
      <c r="E377" t="str">
        <f t="shared" si="7"/>
        <v>Week3</v>
      </c>
      <c r="F377" t="s">
        <v>1102</v>
      </c>
      <c r="G377" t="s">
        <v>1011</v>
      </c>
      <c r="H377">
        <v>25000</v>
      </c>
      <c r="I377" t="s">
        <v>1027</v>
      </c>
      <c r="J377" t="s">
        <v>1030</v>
      </c>
      <c r="K377" t="s">
        <v>1031</v>
      </c>
    </row>
    <row r="378" spans="1:11" x14ac:dyDescent="0.25">
      <c r="A378" t="s">
        <v>377</v>
      </c>
      <c r="B378" s="1">
        <v>45708</v>
      </c>
      <c r="C378">
        <f t="shared" si="8"/>
        <v>2025</v>
      </c>
      <c r="D378" t="str">
        <f t="shared" si="9"/>
        <v>February</v>
      </c>
      <c r="E378" t="str">
        <f t="shared" si="7"/>
        <v>Week3</v>
      </c>
      <c r="F378" t="s">
        <v>1102</v>
      </c>
      <c r="G378" t="s">
        <v>1011</v>
      </c>
      <c r="H378">
        <v>27000</v>
      </c>
      <c r="I378" t="s">
        <v>1027</v>
      </c>
      <c r="J378" t="s">
        <v>1030</v>
      </c>
      <c r="K378" t="s">
        <v>1031</v>
      </c>
    </row>
    <row r="379" spans="1:11" x14ac:dyDescent="0.25">
      <c r="A379" t="s">
        <v>378</v>
      </c>
      <c r="B379" s="1">
        <v>45712</v>
      </c>
      <c r="C379">
        <f t="shared" si="8"/>
        <v>2025</v>
      </c>
      <c r="D379" t="str">
        <f t="shared" si="9"/>
        <v>February</v>
      </c>
      <c r="E379" t="str">
        <f t="shared" si="7"/>
        <v>Week4</v>
      </c>
      <c r="F379" t="s">
        <v>1133</v>
      </c>
      <c r="G379" t="s">
        <v>1010</v>
      </c>
      <c r="H379">
        <v>15000</v>
      </c>
      <c r="I379" t="s">
        <v>1028</v>
      </c>
      <c r="J379" t="s">
        <v>1030</v>
      </c>
      <c r="K379" t="s">
        <v>1031</v>
      </c>
    </row>
    <row r="380" spans="1:11" x14ac:dyDescent="0.25">
      <c r="A380" t="s">
        <v>379</v>
      </c>
      <c r="B380" s="1">
        <v>45698</v>
      </c>
      <c r="C380">
        <f t="shared" si="8"/>
        <v>2025</v>
      </c>
      <c r="D380" t="str">
        <f t="shared" si="9"/>
        <v>February</v>
      </c>
      <c r="E380" t="str">
        <f t="shared" si="7"/>
        <v>Week2</v>
      </c>
      <c r="F380" t="s">
        <v>1035</v>
      </c>
      <c r="G380" t="s">
        <v>1197</v>
      </c>
      <c r="H380">
        <v>13000</v>
      </c>
      <c r="I380" t="s">
        <v>1027</v>
      </c>
      <c r="J380" t="s">
        <v>1030</v>
      </c>
      <c r="K380" t="s">
        <v>1031</v>
      </c>
    </row>
    <row r="381" spans="1:11" x14ac:dyDescent="0.25">
      <c r="A381" t="s">
        <v>380</v>
      </c>
      <c r="B381" s="1">
        <v>45700</v>
      </c>
      <c r="C381">
        <f t="shared" si="8"/>
        <v>2025</v>
      </c>
      <c r="D381" t="str">
        <f t="shared" si="9"/>
        <v>February</v>
      </c>
      <c r="E381" t="str">
        <f t="shared" si="7"/>
        <v>Week2</v>
      </c>
      <c r="F381" t="s">
        <v>1106</v>
      </c>
      <c r="G381" t="s">
        <v>1010</v>
      </c>
      <c r="H381">
        <v>6000</v>
      </c>
      <c r="I381" t="s">
        <v>1027</v>
      </c>
      <c r="J381" t="s">
        <v>1030</v>
      </c>
      <c r="K381" t="s">
        <v>1031</v>
      </c>
    </row>
    <row r="382" spans="1:11" x14ac:dyDescent="0.25">
      <c r="A382" t="s">
        <v>381</v>
      </c>
      <c r="B382" s="1">
        <v>45702</v>
      </c>
      <c r="C382">
        <f t="shared" si="8"/>
        <v>2025</v>
      </c>
      <c r="D382" t="str">
        <f t="shared" si="9"/>
        <v>February</v>
      </c>
      <c r="E382" t="str">
        <f t="shared" si="7"/>
        <v>Week2</v>
      </c>
      <c r="F382" t="s">
        <v>1134</v>
      </c>
      <c r="G382" t="s">
        <v>1012</v>
      </c>
      <c r="H382">
        <v>32000</v>
      </c>
      <c r="I382" t="s">
        <v>1027</v>
      </c>
      <c r="J382" t="s">
        <v>1030</v>
      </c>
      <c r="K382" t="s">
        <v>1031</v>
      </c>
    </row>
    <row r="383" spans="1:11" x14ac:dyDescent="0.25">
      <c r="A383" t="s">
        <v>382</v>
      </c>
      <c r="B383" s="1">
        <v>45701</v>
      </c>
      <c r="C383">
        <f t="shared" si="8"/>
        <v>2025</v>
      </c>
      <c r="D383" t="str">
        <f t="shared" si="9"/>
        <v>February</v>
      </c>
      <c r="E383" t="str">
        <f t="shared" si="7"/>
        <v>Week2</v>
      </c>
      <c r="F383" t="s">
        <v>1120</v>
      </c>
      <c r="G383" t="s">
        <v>1014</v>
      </c>
      <c r="H383">
        <v>4500</v>
      </c>
      <c r="I383" t="s">
        <v>1028</v>
      </c>
      <c r="J383" t="s">
        <v>1030</v>
      </c>
      <c r="K383" t="s">
        <v>1031</v>
      </c>
    </row>
    <row r="384" spans="1:11" x14ac:dyDescent="0.25">
      <c r="A384" t="s">
        <v>383</v>
      </c>
      <c r="B384" s="1">
        <v>45705</v>
      </c>
      <c r="C384">
        <f t="shared" si="8"/>
        <v>2025</v>
      </c>
      <c r="D384" t="str">
        <f t="shared" si="9"/>
        <v>February</v>
      </c>
      <c r="E384" t="str">
        <f t="shared" si="7"/>
        <v>Week3</v>
      </c>
      <c r="F384" t="s">
        <v>1102</v>
      </c>
      <c r="G384" t="s">
        <v>1011</v>
      </c>
      <c r="H384">
        <v>27000</v>
      </c>
      <c r="I384" t="s">
        <v>1027</v>
      </c>
      <c r="J384" t="s">
        <v>1030</v>
      </c>
      <c r="K384" t="s">
        <v>1031</v>
      </c>
    </row>
    <row r="385" spans="1:11" x14ac:dyDescent="0.25">
      <c r="A385" t="s">
        <v>384</v>
      </c>
      <c r="B385" s="1">
        <v>45698</v>
      </c>
      <c r="C385">
        <f t="shared" si="8"/>
        <v>2025</v>
      </c>
      <c r="D385" t="str">
        <f t="shared" si="9"/>
        <v>February</v>
      </c>
      <c r="E385" t="str">
        <f t="shared" si="7"/>
        <v>Week2</v>
      </c>
      <c r="F385" t="s">
        <v>1025</v>
      </c>
      <c r="G385" t="s">
        <v>1014</v>
      </c>
      <c r="H385">
        <v>5000</v>
      </c>
      <c r="I385" t="s">
        <v>1027</v>
      </c>
      <c r="J385" t="s">
        <v>1030</v>
      </c>
      <c r="K385" t="s">
        <v>1031</v>
      </c>
    </row>
    <row r="386" spans="1:11" x14ac:dyDescent="0.25">
      <c r="A386" t="s">
        <v>385</v>
      </c>
      <c r="B386" s="1">
        <v>45708</v>
      </c>
      <c r="C386">
        <f t="shared" si="8"/>
        <v>2025</v>
      </c>
      <c r="D386" t="str">
        <f t="shared" si="9"/>
        <v>February</v>
      </c>
      <c r="E386" t="str">
        <f t="shared" si="7"/>
        <v>Week3</v>
      </c>
      <c r="F386" t="s">
        <v>1040</v>
      </c>
      <c r="G386" t="s">
        <v>1199</v>
      </c>
      <c r="H386">
        <v>20000</v>
      </c>
      <c r="I386" t="s">
        <v>1027</v>
      </c>
      <c r="J386" t="s">
        <v>1030</v>
      </c>
      <c r="K386" t="s">
        <v>1031</v>
      </c>
    </row>
    <row r="387" spans="1:11" x14ac:dyDescent="0.25">
      <c r="A387" t="s">
        <v>386</v>
      </c>
      <c r="B387" s="1">
        <v>45712</v>
      </c>
      <c r="C387">
        <f t="shared" si="8"/>
        <v>2025</v>
      </c>
      <c r="D387" t="str">
        <f t="shared" si="9"/>
        <v>February</v>
      </c>
      <c r="E387" t="str">
        <f t="shared" si="7"/>
        <v>Week4</v>
      </c>
      <c r="F387" t="s">
        <v>1035</v>
      </c>
      <c r="G387" t="s">
        <v>1197</v>
      </c>
      <c r="H387">
        <v>13000</v>
      </c>
      <c r="I387" t="s">
        <v>1027</v>
      </c>
      <c r="J387" t="s">
        <v>1030</v>
      </c>
      <c r="K387" t="s">
        <v>1031</v>
      </c>
    </row>
    <row r="388" spans="1:11" x14ac:dyDescent="0.25">
      <c r="A388" t="s">
        <v>387</v>
      </c>
      <c r="B388" s="1">
        <v>45713</v>
      </c>
      <c r="C388">
        <f t="shared" si="8"/>
        <v>2025</v>
      </c>
      <c r="D388" t="str">
        <f t="shared" si="9"/>
        <v>February</v>
      </c>
      <c r="E388" t="str">
        <f t="shared" si="7"/>
        <v>Week4</v>
      </c>
      <c r="F388" t="s">
        <v>1099</v>
      </c>
      <c r="G388" t="s">
        <v>1198</v>
      </c>
      <c r="H388">
        <v>25000</v>
      </c>
      <c r="I388" t="s">
        <v>1027</v>
      </c>
      <c r="J388" t="s">
        <v>1030</v>
      </c>
      <c r="K388" t="s">
        <v>1031</v>
      </c>
    </row>
    <row r="389" spans="1:11" x14ac:dyDescent="0.25">
      <c r="A389" t="s">
        <v>388</v>
      </c>
      <c r="B389" s="1">
        <v>45713</v>
      </c>
      <c r="C389">
        <f t="shared" si="8"/>
        <v>2025</v>
      </c>
      <c r="D389" t="str">
        <f t="shared" si="9"/>
        <v>February</v>
      </c>
      <c r="E389" t="str">
        <f t="shared" si="7"/>
        <v>Week4</v>
      </c>
      <c r="F389" t="s">
        <v>1021</v>
      </c>
      <c r="G389" t="s">
        <v>1010</v>
      </c>
      <c r="H389">
        <v>2500</v>
      </c>
      <c r="I389" t="s">
        <v>1029</v>
      </c>
      <c r="J389" t="s">
        <v>1030</v>
      </c>
      <c r="K389" t="s">
        <v>1031</v>
      </c>
    </row>
    <row r="390" spans="1:11" x14ac:dyDescent="0.25">
      <c r="A390" t="s">
        <v>389</v>
      </c>
      <c r="B390" s="1">
        <v>45714</v>
      </c>
      <c r="C390">
        <f t="shared" si="8"/>
        <v>2025</v>
      </c>
      <c r="D390" t="str">
        <f t="shared" si="9"/>
        <v>February</v>
      </c>
      <c r="E390" t="str">
        <f t="shared" si="7"/>
        <v>Week4</v>
      </c>
      <c r="F390" t="s">
        <v>1135</v>
      </c>
      <c r="G390" t="s">
        <v>1010</v>
      </c>
      <c r="H390">
        <v>2500</v>
      </c>
      <c r="I390" t="s">
        <v>1029</v>
      </c>
      <c r="J390" t="s">
        <v>1030</v>
      </c>
      <c r="K390" t="s">
        <v>1031</v>
      </c>
    </row>
    <row r="391" spans="1:11" x14ac:dyDescent="0.25">
      <c r="A391" t="s">
        <v>390</v>
      </c>
      <c r="B391" s="1">
        <v>45715</v>
      </c>
      <c r="C391">
        <f t="shared" si="8"/>
        <v>2025</v>
      </c>
      <c r="D391" t="str">
        <f t="shared" si="9"/>
        <v>February</v>
      </c>
      <c r="E391" t="str">
        <f t="shared" si="7"/>
        <v>Week4</v>
      </c>
      <c r="F391" t="s">
        <v>1025</v>
      </c>
      <c r="G391" t="s">
        <v>1014</v>
      </c>
      <c r="H391">
        <v>5000</v>
      </c>
      <c r="I391" t="s">
        <v>1027</v>
      </c>
      <c r="J391" t="s">
        <v>1030</v>
      </c>
      <c r="K391" t="s">
        <v>1031</v>
      </c>
    </row>
    <row r="392" spans="1:11" x14ac:dyDescent="0.25">
      <c r="A392" t="s">
        <v>391</v>
      </c>
      <c r="B392" s="1">
        <v>45715</v>
      </c>
      <c r="C392">
        <f t="shared" si="8"/>
        <v>2025</v>
      </c>
      <c r="D392" t="str">
        <f t="shared" si="9"/>
        <v>February</v>
      </c>
      <c r="E392" t="str">
        <f t="shared" si="7"/>
        <v>Week4</v>
      </c>
      <c r="F392" t="s">
        <v>1120</v>
      </c>
      <c r="G392" t="s">
        <v>1014</v>
      </c>
      <c r="H392">
        <v>4500</v>
      </c>
      <c r="I392" t="s">
        <v>1029</v>
      </c>
      <c r="J392" t="s">
        <v>1030</v>
      </c>
      <c r="K392" t="s">
        <v>1031</v>
      </c>
    </row>
    <row r="393" spans="1:11" x14ac:dyDescent="0.25">
      <c r="A393" t="s">
        <v>392</v>
      </c>
      <c r="B393" s="1">
        <v>45715</v>
      </c>
      <c r="C393">
        <f t="shared" si="8"/>
        <v>2025</v>
      </c>
      <c r="D393" t="str">
        <f t="shared" si="9"/>
        <v>February</v>
      </c>
      <c r="E393" t="str">
        <f t="shared" si="7"/>
        <v>Week4</v>
      </c>
      <c r="F393" t="s">
        <v>1102</v>
      </c>
      <c r="G393" t="s">
        <v>1011</v>
      </c>
      <c r="H393">
        <v>25000</v>
      </c>
      <c r="I393" t="s">
        <v>1027</v>
      </c>
      <c r="J393" t="s">
        <v>1030</v>
      </c>
      <c r="K393" t="s">
        <v>1031</v>
      </c>
    </row>
    <row r="394" spans="1:11" x14ac:dyDescent="0.25">
      <c r="A394" t="s">
        <v>393</v>
      </c>
      <c r="B394" s="1">
        <v>45715</v>
      </c>
      <c r="C394">
        <f t="shared" si="8"/>
        <v>2025</v>
      </c>
      <c r="D394" t="str">
        <f t="shared" si="9"/>
        <v>February</v>
      </c>
      <c r="E394" t="str">
        <f t="shared" si="7"/>
        <v>Week4</v>
      </c>
      <c r="F394" t="s">
        <v>1119</v>
      </c>
      <c r="G394" t="s">
        <v>1011</v>
      </c>
      <c r="H394">
        <v>22000</v>
      </c>
      <c r="I394" t="s">
        <v>1027</v>
      </c>
      <c r="J394" t="s">
        <v>1030</v>
      </c>
      <c r="K394" t="s">
        <v>1031</v>
      </c>
    </row>
    <row r="395" spans="1:11" x14ac:dyDescent="0.25">
      <c r="A395" t="s">
        <v>394</v>
      </c>
      <c r="B395" s="1">
        <v>45717</v>
      </c>
      <c r="C395">
        <f t="shared" si="8"/>
        <v>2025</v>
      </c>
      <c r="D395" t="str">
        <f t="shared" si="9"/>
        <v>March</v>
      </c>
      <c r="E395" t="str">
        <f t="shared" si="7"/>
        <v>Week1</v>
      </c>
      <c r="F395" t="s">
        <v>1018</v>
      </c>
      <c r="G395" t="s">
        <v>1013</v>
      </c>
      <c r="H395">
        <v>4000</v>
      </c>
      <c r="I395" t="s">
        <v>1027</v>
      </c>
      <c r="J395" t="s">
        <v>1030</v>
      </c>
      <c r="K395" t="s">
        <v>1031</v>
      </c>
    </row>
    <row r="396" spans="1:11" x14ac:dyDescent="0.25">
      <c r="A396" t="s">
        <v>395</v>
      </c>
      <c r="B396" s="1">
        <v>45719</v>
      </c>
      <c r="C396">
        <f t="shared" si="8"/>
        <v>2025</v>
      </c>
      <c r="D396" t="str">
        <f t="shared" si="9"/>
        <v>March</v>
      </c>
      <c r="E396" t="str">
        <f t="shared" si="7"/>
        <v>Week1</v>
      </c>
      <c r="F396" t="s">
        <v>1049</v>
      </c>
      <c r="G396" t="s">
        <v>1199</v>
      </c>
      <c r="H396">
        <v>24000</v>
      </c>
      <c r="I396" t="s">
        <v>1027</v>
      </c>
      <c r="J396" t="s">
        <v>1030</v>
      </c>
      <c r="K396" t="s">
        <v>1031</v>
      </c>
    </row>
    <row r="397" spans="1:11" x14ac:dyDescent="0.25">
      <c r="A397" t="s">
        <v>396</v>
      </c>
      <c r="B397" s="1">
        <v>45719</v>
      </c>
      <c r="C397">
        <f t="shared" si="8"/>
        <v>2025</v>
      </c>
      <c r="D397" t="str">
        <f t="shared" si="9"/>
        <v>March</v>
      </c>
      <c r="E397" t="str">
        <f t="shared" si="7"/>
        <v>Week1</v>
      </c>
      <c r="F397" t="s">
        <v>1035</v>
      </c>
      <c r="G397" t="s">
        <v>1197</v>
      </c>
      <c r="H397">
        <v>13000</v>
      </c>
      <c r="I397" t="s">
        <v>1027</v>
      </c>
      <c r="J397" t="s">
        <v>1030</v>
      </c>
      <c r="K397" t="s">
        <v>1031</v>
      </c>
    </row>
    <row r="398" spans="1:11" x14ac:dyDescent="0.25">
      <c r="A398" t="s">
        <v>397</v>
      </c>
      <c r="B398" s="1">
        <v>45720</v>
      </c>
      <c r="C398">
        <f t="shared" si="8"/>
        <v>2025</v>
      </c>
      <c r="D398" t="str">
        <f t="shared" si="9"/>
        <v>March</v>
      </c>
      <c r="E398" t="str">
        <f t="shared" si="7"/>
        <v>Week1</v>
      </c>
      <c r="F398" t="s">
        <v>1033</v>
      </c>
      <c r="G398" t="s">
        <v>1014</v>
      </c>
      <c r="H398">
        <v>109580</v>
      </c>
      <c r="I398" t="s">
        <v>1028</v>
      </c>
      <c r="J398" t="s">
        <v>1030</v>
      </c>
      <c r="K398" t="s">
        <v>1031</v>
      </c>
    </row>
    <row r="399" spans="1:11" x14ac:dyDescent="0.25">
      <c r="A399" t="s">
        <v>398</v>
      </c>
      <c r="B399" s="1">
        <v>45721</v>
      </c>
      <c r="C399">
        <f t="shared" si="8"/>
        <v>2025</v>
      </c>
      <c r="D399" t="str">
        <f t="shared" si="9"/>
        <v>March</v>
      </c>
      <c r="E399" t="str">
        <f t="shared" si="7"/>
        <v>Week1</v>
      </c>
      <c r="F399" t="s">
        <v>1136</v>
      </c>
      <c r="G399" t="s">
        <v>1198</v>
      </c>
      <c r="H399">
        <v>12000</v>
      </c>
      <c r="I399" t="s">
        <v>1029</v>
      </c>
      <c r="J399" t="s">
        <v>1030</v>
      </c>
      <c r="K399" t="s">
        <v>1031</v>
      </c>
    </row>
    <row r="400" spans="1:11" x14ac:dyDescent="0.25">
      <c r="A400" t="s">
        <v>399</v>
      </c>
      <c r="B400" s="1">
        <v>45721</v>
      </c>
      <c r="C400">
        <f t="shared" si="8"/>
        <v>2025</v>
      </c>
      <c r="D400" t="str">
        <f t="shared" si="9"/>
        <v>March</v>
      </c>
      <c r="E400" t="str">
        <f t="shared" si="7"/>
        <v>Week1</v>
      </c>
      <c r="F400" t="s">
        <v>1137</v>
      </c>
      <c r="G400" t="s">
        <v>1015</v>
      </c>
      <c r="H400">
        <v>10000</v>
      </c>
      <c r="I400" t="s">
        <v>1029</v>
      </c>
      <c r="J400" t="s">
        <v>1030</v>
      </c>
      <c r="K400" t="s">
        <v>1031</v>
      </c>
    </row>
    <row r="401" spans="1:11" x14ac:dyDescent="0.25">
      <c r="A401" t="s">
        <v>400</v>
      </c>
      <c r="B401" s="1">
        <v>45721</v>
      </c>
      <c r="C401">
        <f t="shared" si="8"/>
        <v>2025</v>
      </c>
      <c r="D401" t="str">
        <f t="shared" si="9"/>
        <v>March</v>
      </c>
      <c r="E401" t="str">
        <f t="shared" si="7"/>
        <v>Week1</v>
      </c>
      <c r="F401" t="s">
        <v>1117</v>
      </c>
      <c r="G401" t="s">
        <v>1198</v>
      </c>
      <c r="H401">
        <v>7000</v>
      </c>
      <c r="I401" t="s">
        <v>1027</v>
      </c>
      <c r="J401" t="s">
        <v>1030</v>
      </c>
      <c r="K401" t="s">
        <v>1031</v>
      </c>
    </row>
    <row r="402" spans="1:11" x14ac:dyDescent="0.25">
      <c r="A402" t="s">
        <v>401</v>
      </c>
      <c r="B402" s="1">
        <v>45721</v>
      </c>
      <c r="C402">
        <f t="shared" si="8"/>
        <v>2025</v>
      </c>
      <c r="D402" t="str">
        <f t="shared" si="9"/>
        <v>March</v>
      </c>
      <c r="E402" t="str">
        <f t="shared" si="7"/>
        <v>Week1</v>
      </c>
      <c r="F402" t="s">
        <v>1037</v>
      </c>
      <c r="G402" t="s">
        <v>1199</v>
      </c>
      <c r="H402">
        <v>24000</v>
      </c>
      <c r="I402" t="s">
        <v>1027</v>
      </c>
      <c r="J402" t="s">
        <v>1030</v>
      </c>
      <c r="K402" t="s">
        <v>1031</v>
      </c>
    </row>
    <row r="403" spans="1:11" x14ac:dyDescent="0.25">
      <c r="A403" t="s">
        <v>402</v>
      </c>
      <c r="B403" s="1">
        <v>45722</v>
      </c>
      <c r="C403">
        <f t="shared" si="8"/>
        <v>2025</v>
      </c>
      <c r="D403" t="str">
        <f t="shared" si="9"/>
        <v>March</v>
      </c>
      <c r="E403" t="str">
        <f t="shared" si="7"/>
        <v>Week1</v>
      </c>
      <c r="F403" t="s">
        <v>1138</v>
      </c>
      <c r="G403" t="s">
        <v>1012</v>
      </c>
      <c r="H403">
        <v>25000</v>
      </c>
      <c r="I403" t="s">
        <v>1027</v>
      </c>
      <c r="J403" t="s">
        <v>1030</v>
      </c>
      <c r="K403" t="s">
        <v>1031</v>
      </c>
    </row>
    <row r="404" spans="1:11" x14ac:dyDescent="0.25">
      <c r="A404" t="s">
        <v>403</v>
      </c>
      <c r="B404" s="1">
        <v>45743</v>
      </c>
      <c r="C404">
        <f t="shared" si="8"/>
        <v>2025</v>
      </c>
      <c r="D404" t="str">
        <f t="shared" si="9"/>
        <v>March</v>
      </c>
      <c r="E404" t="str">
        <f t="shared" si="7"/>
        <v>Week4</v>
      </c>
      <c r="F404" t="s">
        <v>1139</v>
      </c>
      <c r="G404" t="s">
        <v>1015</v>
      </c>
      <c r="H404">
        <v>102000</v>
      </c>
      <c r="I404" t="s">
        <v>1027</v>
      </c>
      <c r="J404" t="s">
        <v>1030</v>
      </c>
      <c r="K404" t="s">
        <v>1031</v>
      </c>
    </row>
    <row r="405" spans="1:11" x14ac:dyDescent="0.25">
      <c r="A405" t="s">
        <v>404</v>
      </c>
      <c r="B405" s="1">
        <v>45717</v>
      </c>
      <c r="C405">
        <f t="shared" si="8"/>
        <v>2025</v>
      </c>
      <c r="D405" t="str">
        <f t="shared" si="9"/>
        <v>March</v>
      </c>
      <c r="E405" t="str">
        <f t="shared" si="7"/>
        <v>Week1</v>
      </c>
      <c r="F405" t="s">
        <v>1045</v>
      </c>
      <c r="G405" t="s">
        <v>1197</v>
      </c>
      <c r="H405">
        <v>55000</v>
      </c>
      <c r="I405" t="s">
        <v>1027</v>
      </c>
      <c r="J405" t="s">
        <v>1030</v>
      </c>
      <c r="K405" t="s">
        <v>1031</v>
      </c>
    </row>
    <row r="406" spans="1:11" x14ac:dyDescent="0.25">
      <c r="A406" t="s">
        <v>405</v>
      </c>
      <c r="B406" s="1">
        <v>45726</v>
      </c>
      <c r="C406">
        <f t="shared" si="8"/>
        <v>2025</v>
      </c>
      <c r="D406" t="str">
        <f t="shared" si="9"/>
        <v>March</v>
      </c>
      <c r="E406" t="str">
        <f t="shared" si="7"/>
        <v>Week2</v>
      </c>
      <c r="F406" t="s">
        <v>1040</v>
      </c>
      <c r="G406" t="s">
        <v>1199</v>
      </c>
      <c r="H406">
        <v>24000</v>
      </c>
      <c r="I406" t="s">
        <v>1027</v>
      </c>
      <c r="J406" t="s">
        <v>1030</v>
      </c>
      <c r="K406" t="s">
        <v>1031</v>
      </c>
    </row>
    <row r="407" spans="1:11" x14ac:dyDescent="0.25">
      <c r="A407" t="s">
        <v>406</v>
      </c>
      <c r="B407" s="1">
        <v>45726</v>
      </c>
      <c r="C407">
        <f t="shared" si="8"/>
        <v>2025</v>
      </c>
      <c r="D407" t="str">
        <f t="shared" si="9"/>
        <v>March</v>
      </c>
      <c r="E407" t="str">
        <f t="shared" si="7"/>
        <v>Week2</v>
      </c>
      <c r="F407" t="s">
        <v>1035</v>
      </c>
      <c r="G407" t="s">
        <v>1197</v>
      </c>
      <c r="H407">
        <v>13000</v>
      </c>
      <c r="I407" t="s">
        <v>1027</v>
      </c>
      <c r="J407" t="s">
        <v>1030</v>
      </c>
      <c r="K407" t="s">
        <v>1031</v>
      </c>
    </row>
    <row r="408" spans="1:11" x14ac:dyDescent="0.25">
      <c r="A408" t="s">
        <v>407</v>
      </c>
      <c r="B408" s="1">
        <v>45726</v>
      </c>
      <c r="C408">
        <f t="shared" si="8"/>
        <v>2025</v>
      </c>
      <c r="D408" t="str">
        <f t="shared" si="9"/>
        <v>March</v>
      </c>
      <c r="E408" t="str">
        <f t="shared" si="7"/>
        <v>Week2</v>
      </c>
      <c r="F408" t="s">
        <v>1140</v>
      </c>
      <c r="G408" t="s">
        <v>1010</v>
      </c>
      <c r="H408">
        <v>10000</v>
      </c>
      <c r="I408" t="s">
        <v>1027</v>
      </c>
      <c r="J408" t="s">
        <v>1030</v>
      </c>
      <c r="K408" t="s">
        <v>1031</v>
      </c>
    </row>
    <row r="409" spans="1:11" x14ac:dyDescent="0.25">
      <c r="A409" t="s">
        <v>408</v>
      </c>
      <c r="B409" s="1">
        <v>45727</v>
      </c>
      <c r="C409">
        <f t="shared" si="8"/>
        <v>2025</v>
      </c>
      <c r="D409" t="str">
        <f t="shared" si="9"/>
        <v>March</v>
      </c>
      <c r="E409" t="str">
        <f t="shared" si="7"/>
        <v>Week2</v>
      </c>
      <c r="F409" t="s">
        <v>1018</v>
      </c>
      <c r="G409" t="s">
        <v>1013</v>
      </c>
      <c r="H409">
        <v>4000</v>
      </c>
      <c r="I409" t="s">
        <v>1027</v>
      </c>
      <c r="J409" t="s">
        <v>1030</v>
      </c>
      <c r="K409" t="s">
        <v>1031</v>
      </c>
    </row>
    <row r="410" spans="1:11" x14ac:dyDescent="0.25">
      <c r="A410" t="s">
        <v>409</v>
      </c>
      <c r="B410" s="1">
        <v>45729</v>
      </c>
      <c r="C410">
        <f t="shared" si="8"/>
        <v>2025</v>
      </c>
      <c r="D410" t="str">
        <f t="shared" si="9"/>
        <v>March</v>
      </c>
      <c r="E410" t="str">
        <f t="shared" si="7"/>
        <v>Week2</v>
      </c>
      <c r="F410" t="s">
        <v>1106</v>
      </c>
      <c r="G410" t="s">
        <v>1010</v>
      </c>
      <c r="H410">
        <v>7000</v>
      </c>
      <c r="I410" t="s">
        <v>1027</v>
      </c>
      <c r="J410" t="s">
        <v>1030</v>
      </c>
      <c r="K410" t="s">
        <v>1031</v>
      </c>
    </row>
    <row r="411" spans="1:11" x14ac:dyDescent="0.25">
      <c r="A411" t="s">
        <v>410</v>
      </c>
      <c r="B411" s="1">
        <v>45729</v>
      </c>
      <c r="C411">
        <f t="shared" si="8"/>
        <v>2025</v>
      </c>
      <c r="D411" t="str">
        <f t="shared" si="9"/>
        <v>March</v>
      </c>
      <c r="E411" t="str">
        <f t="shared" si="7"/>
        <v>Week2</v>
      </c>
      <c r="F411" t="s">
        <v>1041</v>
      </c>
      <c r="G411" t="s">
        <v>1010</v>
      </c>
      <c r="H411">
        <v>2800</v>
      </c>
      <c r="I411" t="s">
        <v>1027</v>
      </c>
      <c r="J411" t="s">
        <v>1030</v>
      </c>
      <c r="K411" t="s">
        <v>1031</v>
      </c>
    </row>
    <row r="412" spans="1:11" x14ac:dyDescent="0.25">
      <c r="A412" t="s">
        <v>411</v>
      </c>
      <c r="B412" s="1">
        <v>45735</v>
      </c>
      <c r="C412">
        <f t="shared" si="8"/>
        <v>2025</v>
      </c>
      <c r="D412" t="str">
        <f t="shared" si="9"/>
        <v>March</v>
      </c>
      <c r="E412" t="str">
        <f t="shared" si="7"/>
        <v>Week3</v>
      </c>
      <c r="F412" t="s">
        <v>1035</v>
      </c>
      <c r="G412" t="s">
        <v>1197</v>
      </c>
      <c r="H412">
        <v>13000</v>
      </c>
      <c r="I412" t="s">
        <v>1027</v>
      </c>
      <c r="J412" t="s">
        <v>1030</v>
      </c>
      <c r="K412" t="s">
        <v>1031</v>
      </c>
    </row>
    <row r="413" spans="1:11" x14ac:dyDescent="0.25">
      <c r="A413" t="s">
        <v>412</v>
      </c>
      <c r="B413" s="1">
        <v>45733</v>
      </c>
      <c r="C413">
        <f t="shared" si="8"/>
        <v>2025</v>
      </c>
      <c r="D413" t="str">
        <f t="shared" si="9"/>
        <v>March</v>
      </c>
      <c r="E413" t="str">
        <f t="shared" si="7"/>
        <v>Week3</v>
      </c>
      <c r="F413" t="s">
        <v>1106</v>
      </c>
      <c r="G413" t="s">
        <v>1010</v>
      </c>
      <c r="H413">
        <v>10000</v>
      </c>
      <c r="I413" t="s">
        <v>1029</v>
      </c>
      <c r="J413" t="s">
        <v>1030</v>
      </c>
      <c r="K413" t="s">
        <v>1031</v>
      </c>
    </row>
    <row r="414" spans="1:11" x14ac:dyDescent="0.25">
      <c r="A414" t="s">
        <v>413</v>
      </c>
      <c r="B414" s="1">
        <v>45735</v>
      </c>
      <c r="C414">
        <f t="shared" si="8"/>
        <v>2025</v>
      </c>
      <c r="D414" t="str">
        <f t="shared" si="9"/>
        <v>March</v>
      </c>
      <c r="E414" t="str">
        <f t="shared" si="7"/>
        <v>Week3</v>
      </c>
      <c r="F414" t="s">
        <v>1120</v>
      </c>
      <c r="G414" t="s">
        <v>1014</v>
      </c>
      <c r="H414">
        <v>4500</v>
      </c>
      <c r="I414" t="s">
        <v>1029</v>
      </c>
      <c r="J414" t="s">
        <v>1030</v>
      </c>
      <c r="K414" t="s">
        <v>1031</v>
      </c>
    </row>
    <row r="415" spans="1:11" x14ac:dyDescent="0.25">
      <c r="A415" t="s">
        <v>414</v>
      </c>
      <c r="B415" s="1">
        <v>45740</v>
      </c>
      <c r="C415">
        <f t="shared" si="8"/>
        <v>2025</v>
      </c>
      <c r="D415" t="str">
        <f t="shared" si="9"/>
        <v>March</v>
      </c>
      <c r="E415" t="str">
        <f t="shared" si="7"/>
        <v>Week4</v>
      </c>
      <c r="F415" t="s">
        <v>1035</v>
      </c>
      <c r="G415" t="s">
        <v>1197</v>
      </c>
      <c r="H415">
        <v>13000</v>
      </c>
      <c r="I415" t="s">
        <v>1027</v>
      </c>
      <c r="J415" t="s">
        <v>1030</v>
      </c>
      <c r="K415" t="s">
        <v>1031</v>
      </c>
    </row>
    <row r="416" spans="1:11" x14ac:dyDescent="0.25">
      <c r="A416" t="s">
        <v>415</v>
      </c>
      <c r="B416" s="1">
        <v>45740</v>
      </c>
      <c r="C416">
        <f t="shared" si="8"/>
        <v>2025</v>
      </c>
      <c r="D416" t="str">
        <f t="shared" si="9"/>
        <v>March</v>
      </c>
      <c r="E416" t="str">
        <f t="shared" si="7"/>
        <v>Week4</v>
      </c>
      <c r="F416" t="s">
        <v>1023</v>
      </c>
      <c r="G416" t="s">
        <v>1201</v>
      </c>
      <c r="H416">
        <v>10000</v>
      </c>
      <c r="I416" t="s">
        <v>1029</v>
      </c>
      <c r="J416" t="s">
        <v>1030</v>
      </c>
      <c r="K416" t="s">
        <v>1031</v>
      </c>
    </row>
    <row r="417" spans="1:11" x14ac:dyDescent="0.25">
      <c r="A417" t="s">
        <v>416</v>
      </c>
      <c r="B417" s="1">
        <v>45741</v>
      </c>
      <c r="C417">
        <f t="shared" si="8"/>
        <v>2025</v>
      </c>
      <c r="D417" t="str">
        <f t="shared" si="9"/>
        <v>March</v>
      </c>
      <c r="E417" t="str">
        <f t="shared" si="7"/>
        <v>Week4</v>
      </c>
      <c r="F417" t="s">
        <v>1119</v>
      </c>
      <c r="G417" t="s">
        <v>1011</v>
      </c>
      <c r="H417">
        <v>20000</v>
      </c>
      <c r="I417" t="s">
        <v>1028</v>
      </c>
      <c r="J417" t="s">
        <v>1030</v>
      </c>
      <c r="K417" t="s">
        <v>1031</v>
      </c>
    </row>
    <row r="418" spans="1:11" x14ac:dyDescent="0.25">
      <c r="A418" t="s">
        <v>417</v>
      </c>
      <c r="B418" s="1">
        <v>45741</v>
      </c>
      <c r="C418">
        <f t="shared" si="8"/>
        <v>2025</v>
      </c>
      <c r="D418" t="str">
        <f t="shared" si="9"/>
        <v>March</v>
      </c>
      <c r="E418" t="str">
        <f t="shared" si="7"/>
        <v>Week4</v>
      </c>
      <c r="F418" t="s">
        <v>1141</v>
      </c>
      <c r="G418" t="s">
        <v>1198</v>
      </c>
      <c r="H418">
        <v>4000</v>
      </c>
      <c r="I418" t="s">
        <v>1027</v>
      </c>
      <c r="J418" t="s">
        <v>1030</v>
      </c>
      <c r="K418" t="s">
        <v>1031</v>
      </c>
    </row>
    <row r="419" spans="1:11" x14ac:dyDescent="0.25">
      <c r="A419" t="s">
        <v>418</v>
      </c>
      <c r="B419" s="1">
        <v>45742</v>
      </c>
      <c r="C419">
        <f t="shared" si="8"/>
        <v>2025</v>
      </c>
      <c r="D419" t="str">
        <f t="shared" si="9"/>
        <v>March</v>
      </c>
      <c r="E419" t="str">
        <f t="shared" si="7"/>
        <v>Week4</v>
      </c>
      <c r="F419" t="s">
        <v>1025</v>
      </c>
      <c r="G419" t="s">
        <v>1014</v>
      </c>
      <c r="H419">
        <v>5000</v>
      </c>
      <c r="I419" t="s">
        <v>1027</v>
      </c>
      <c r="J419" t="s">
        <v>1030</v>
      </c>
      <c r="K419" t="s">
        <v>1031</v>
      </c>
    </row>
    <row r="420" spans="1:11" x14ac:dyDescent="0.25">
      <c r="A420" t="s">
        <v>419</v>
      </c>
      <c r="B420" s="1">
        <v>45727</v>
      </c>
      <c r="C420">
        <f t="shared" si="8"/>
        <v>2025</v>
      </c>
      <c r="D420" t="str">
        <f t="shared" si="9"/>
        <v>March</v>
      </c>
      <c r="E420" t="str">
        <f t="shared" si="7"/>
        <v>Week2</v>
      </c>
      <c r="F420" t="s">
        <v>1025</v>
      </c>
      <c r="G420" t="s">
        <v>1014</v>
      </c>
      <c r="H420">
        <v>5000</v>
      </c>
      <c r="I420" t="s">
        <v>1027</v>
      </c>
      <c r="J420" t="s">
        <v>1030</v>
      </c>
      <c r="K420" t="s">
        <v>1031</v>
      </c>
    </row>
    <row r="421" spans="1:11" x14ac:dyDescent="0.25">
      <c r="A421" t="s">
        <v>420</v>
      </c>
      <c r="B421" s="1">
        <v>45743</v>
      </c>
      <c r="C421">
        <f t="shared" si="8"/>
        <v>2025</v>
      </c>
      <c r="D421" t="str">
        <f t="shared" si="9"/>
        <v>March</v>
      </c>
      <c r="E421" t="str">
        <f t="shared" si="7"/>
        <v>Week4</v>
      </c>
      <c r="F421" t="s">
        <v>1102</v>
      </c>
      <c r="G421" t="s">
        <v>1011</v>
      </c>
      <c r="H421">
        <v>25000</v>
      </c>
      <c r="I421" t="s">
        <v>1027</v>
      </c>
      <c r="J421" t="s">
        <v>1030</v>
      </c>
      <c r="K421" t="s">
        <v>1031</v>
      </c>
    </row>
    <row r="422" spans="1:11" x14ac:dyDescent="0.25">
      <c r="A422" t="s">
        <v>421</v>
      </c>
      <c r="B422" s="1">
        <v>45743</v>
      </c>
      <c r="C422">
        <f t="shared" si="8"/>
        <v>2025</v>
      </c>
      <c r="D422" t="str">
        <f t="shared" si="9"/>
        <v>March</v>
      </c>
      <c r="E422" t="str">
        <f t="shared" si="7"/>
        <v>Week4</v>
      </c>
      <c r="F422" t="s">
        <v>1102</v>
      </c>
      <c r="G422" t="s">
        <v>1011</v>
      </c>
      <c r="H422">
        <v>25000</v>
      </c>
      <c r="I422" t="s">
        <v>1027</v>
      </c>
      <c r="J422" t="s">
        <v>1030</v>
      </c>
      <c r="K422" t="s">
        <v>1031</v>
      </c>
    </row>
    <row r="423" spans="1:11" x14ac:dyDescent="0.25">
      <c r="A423" t="s">
        <v>422</v>
      </c>
      <c r="B423" s="1">
        <v>45749</v>
      </c>
      <c r="C423">
        <f t="shared" si="8"/>
        <v>2025</v>
      </c>
      <c r="D423" t="str">
        <f t="shared" si="9"/>
        <v>April</v>
      </c>
      <c r="E423" t="str">
        <f t="shared" si="7"/>
        <v>Week1</v>
      </c>
      <c r="F423" t="s">
        <v>1035</v>
      </c>
      <c r="G423" t="s">
        <v>1197</v>
      </c>
      <c r="H423">
        <v>13000</v>
      </c>
      <c r="I423" t="s">
        <v>1027</v>
      </c>
      <c r="J423" t="s">
        <v>1030</v>
      </c>
      <c r="K423" t="s">
        <v>1031</v>
      </c>
    </row>
    <row r="424" spans="1:11" x14ac:dyDescent="0.25">
      <c r="A424" t="s">
        <v>423</v>
      </c>
      <c r="B424" s="1">
        <v>45749</v>
      </c>
      <c r="C424">
        <f t="shared" si="8"/>
        <v>2025</v>
      </c>
      <c r="D424" t="str">
        <f t="shared" si="9"/>
        <v>April</v>
      </c>
      <c r="E424" t="str">
        <f t="shared" si="7"/>
        <v>Week1</v>
      </c>
      <c r="F424" t="s">
        <v>1119</v>
      </c>
      <c r="G424" t="s">
        <v>1011</v>
      </c>
      <c r="H424">
        <v>25000</v>
      </c>
      <c r="I424" t="s">
        <v>1027</v>
      </c>
      <c r="J424" t="s">
        <v>1030</v>
      </c>
      <c r="K424" t="s">
        <v>1031</v>
      </c>
    </row>
    <row r="425" spans="1:11" x14ac:dyDescent="0.25">
      <c r="A425" t="s">
        <v>424</v>
      </c>
      <c r="B425" s="1">
        <v>45749</v>
      </c>
      <c r="C425">
        <f t="shared" si="8"/>
        <v>2025</v>
      </c>
      <c r="D425" t="str">
        <f t="shared" si="9"/>
        <v>April</v>
      </c>
      <c r="E425" t="str">
        <f t="shared" si="7"/>
        <v>Week1</v>
      </c>
      <c r="F425" t="s">
        <v>1106</v>
      </c>
      <c r="G425" t="s">
        <v>1010</v>
      </c>
      <c r="H425">
        <v>7000</v>
      </c>
      <c r="I425" t="s">
        <v>1027</v>
      </c>
      <c r="J425" t="s">
        <v>1030</v>
      </c>
      <c r="K425" t="s">
        <v>1031</v>
      </c>
    </row>
    <row r="426" spans="1:11" x14ac:dyDescent="0.25">
      <c r="A426" t="s">
        <v>425</v>
      </c>
      <c r="B426" s="1">
        <v>45749</v>
      </c>
      <c r="C426">
        <f t="shared" si="8"/>
        <v>2025</v>
      </c>
      <c r="D426" t="str">
        <f t="shared" si="9"/>
        <v>April</v>
      </c>
      <c r="E426" t="str">
        <f t="shared" si="7"/>
        <v>Week1</v>
      </c>
      <c r="F426" t="s">
        <v>1049</v>
      </c>
      <c r="G426" t="s">
        <v>1199</v>
      </c>
      <c r="H426">
        <v>24000</v>
      </c>
      <c r="I426" t="s">
        <v>1027</v>
      </c>
      <c r="J426" t="s">
        <v>1030</v>
      </c>
      <c r="K426" t="s">
        <v>1031</v>
      </c>
    </row>
    <row r="427" spans="1:11" x14ac:dyDescent="0.25">
      <c r="A427" t="s">
        <v>426</v>
      </c>
      <c r="B427" s="1">
        <v>45749</v>
      </c>
      <c r="C427">
        <f t="shared" si="8"/>
        <v>2025</v>
      </c>
      <c r="D427" t="str">
        <f t="shared" si="9"/>
        <v>April</v>
      </c>
      <c r="E427" t="str">
        <f t="shared" si="7"/>
        <v>Week1</v>
      </c>
      <c r="F427" t="s">
        <v>1037</v>
      </c>
      <c r="G427" t="s">
        <v>1199</v>
      </c>
      <c r="H427">
        <v>24000</v>
      </c>
      <c r="I427" t="s">
        <v>1027</v>
      </c>
      <c r="J427" t="s">
        <v>1030</v>
      </c>
      <c r="K427" t="s">
        <v>1031</v>
      </c>
    </row>
    <row r="428" spans="1:11" x14ac:dyDescent="0.25">
      <c r="A428" t="s">
        <v>427</v>
      </c>
      <c r="B428" s="1">
        <v>45750</v>
      </c>
      <c r="C428">
        <f t="shared" si="8"/>
        <v>2025</v>
      </c>
      <c r="D428" t="str">
        <f t="shared" si="9"/>
        <v>April</v>
      </c>
      <c r="E428" t="str">
        <f t="shared" ref="E428:E682" si="10">"Week"&amp;ROUNDUP(DAY(B428)/7,0)</f>
        <v>Week1</v>
      </c>
      <c r="F428" t="s">
        <v>1041</v>
      </c>
      <c r="G428" t="s">
        <v>1010</v>
      </c>
      <c r="H428">
        <v>4000</v>
      </c>
      <c r="I428" t="s">
        <v>1029</v>
      </c>
      <c r="J428" t="s">
        <v>1030</v>
      </c>
      <c r="K428" t="s">
        <v>1031</v>
      </c>
    </row>
    <row r="429" spans="1:11" x14ac:dyDescent="0.25">
      <c r="A429" t="s">
        <v>428</v>
      </c>
      <c r="B429" s="1">
        <v>45750</v>
      </c>
      <c r="C429">
        <f t="shared" si="8"/>
        <v>2025</v>
      </c>
      <c r="D429" t="str">
        <f t="shared" si="9"/>
        <v>April</v>
      </c>
      <c r="E429" t="str">
        <f t="shared" si="10"/>
        <v>Week1</v>
      </c>
      <c r="F429" t="s">
        <v>1102</v>
      </c>
      <c r="G429" t="s">
        <v>1011</v>
      </c>
      <c r="H429">
        <v>22000</v>
      </c>
      <c r="I429" t="s">
        <v>1027</v>
      </c>
      <c r="J429" t="s">
        <v>1030</v>
      </c>
      <c r="K429" t="s">
        <v>1031</v>
      </c>
    </row>
    <row r="430" spans="1:11" x14ac:dyDescent="0.25">
      <c r="A430" t="s">
        <v>429</v>
      </c>
      <c r="B430" s="1">
        <v>45751</v>
      </c>
      <c r="C430">
        <f t="shared" si="8"/>
        <v>2025</v>
      </c>
      <c r="D430" t="str">
        <f t="shared" si="9"/>
        <v>April</v>
      </c>
      <c r="E430" t="str">
        <f t="shared" si="10"/>
        <v>Week1</v>
      </c>
      <c r="F430" t="s">
        <v>1119</v>
      </c>
      <c r="G430" t="s">
        <v>1011</v>
      </c>
      <c r="H430">
        <v>15000</v>
      </c>
      <c r="I430" t="s">
        <v>1027</v>
      </c>
      <c r="J430" t="s">
        <v>1030</v>
      </c>
      <c r="K430" t="s">
        <v>1031</v>
      </c>
    </row>
    <row r="431" spans="1:11" x14ac:dyDescent="0.25">
      <c r="A431" t="s">
        <v>430</v>
      </c>
      <c r="B431" s="1">
        <v>45751</v>
      </c>
      <c r="C431">
        <f t="shared" si="8"/>
        <v>2025</v>
      </c>
      <c r="D431" t="str">
        <f t="shared" si="9"/>
        <v>April</v>
      </c>
      <c r="E431" t="str">
        <f t="shared" si="10"/>
        <v>Week1</v>
      </c>
      <c r="F431" t="s">
        <v>1142</v>
      </c>
      <c r="G431" t="s">
        <v>1015</v>
      </c>
      <c r="H431">
        <v>6000</v>
      </c>
      <c r="I431" t="s">
        <v>1027</v>
      </c>
      <c r="J431" t="s">
        <v>1030</v>
      </c>
      <c r="K431" t="s">
        <v>1031</v>
      </c>
    </row>
    <row r="432" spans="1:11" x14ac:dyDescent="0.25">
      <c r="A432" t="s">
        <v>431</v>
      </c>
      <c r="B432" s="1">
        <v>45752</v>
      </c>
      <c r="C432">
        <f t="shared" si="8"/>
        <v>2025</v>
      </c>
      <c r="D432" t="str">
        <f t="shared" si="9"/>
        <v>April</v>
      </c>
      <c r="E432" t="str">
        <f t="shared" si="10"/>
        <v>Week1</v>
      </c>
      <c r="F432" t="s">
        <v>1018</v>
      </c>
      <c r="G432" t="s">
        <v>1013</v>
      </c>
      <c r="H432">
        <v>4000</v>
      </c>
      <c r="I432" t="s">
        <v>1027</v>
      </c>
      <c r="J432" t="s">
        <v>1030</v>
      </c>
      <c r="K432" t="s">
        <v>1031</v>
      </c>
    </row>
    <row r="433" spans="1:11" x14ac:dyDescent="0.25">
      <c r="A433" t="s">
        <v>432</v>
      </c>
      <c r="B433" s="1">
        <v>45754</v>
      </c>
      <c r="C433">
        <f t="shared" si="8"/>
        <v>2025</v>
      </c>
      <c r="D433" t="str">
        <f t="shared" si="9"/>
        <v>April</v>
      </c>
      <c r="E433" t="str">
        <f t="shared" si="10"/>
        <v>Week1</v>
      </c>
      <c r="F433" t="s">
        <v>1033</v>
      </c>
      <c r="G433" t="s">
        <v>1014</v>
      </c>
      <c r="H433">
        <v>104600</v>
      </c>
      <c r="I433" t="s">
        <v>1027</v>
      </c>
      <c r="J433" t="s">
        <v>1030</v>
      </c>
      <c r="K433" t="s">
        <v>1031</v>
      </c>
    </row>
    <row r="434" spans="1:11" x14ac:dyDescent="0.25">
      <c r="A434" t="s">
        <v>433</v>
      </c>
      <c r="B434" s="1">
        <v>45754</v>
      </c>
      <c r="C434">
        <f t="shared" si="8"/>
        <v>2025</v>
      </c>
      <c r="D434" t="str">
        <f t="shared" si="9"/>
        <v>April</v>
      </c>
      <c r="E434" t="str">
        <f t="shared" si="10"/>
        <v>Week1</v>
      </c>
      <c r="F434" t="s">
        <v>1035</v>
      </c>
      <c r="G434" t="s">
        <v>1197</v>
      </c>
      <c r="H434">
        <v>13000</v>
      </c>
      <c r="I434" t="s">
        <v>1027</v>
      </c>
      <c r="J434" t="s">
        <v>1030</v>
      </c>
      <c r="K434" t="s">
        <v>1031</v>
      </c>
    </row>
    <row r="435" spans="1:11" x14ac:dyDescent="0.25">
      <c r="A435" t="s">
        <v>434</v>
      </c>
      <c r="B435" s="1">
        <v>45755</v>
      </c>
      <c r="C435">
        <f t="shared" si="8"/>
        <v>2025</v>
      </c>
      <c r="D435" t="str">
        <f t="shared" si="9"/>
        <v>April</v>
      </c>
      <c r="E435" t="str">
        <f t="shared" si="10"/>
        <v>Week2</v>
      </c>
      <c r="F435" t="s">
        <v>1025</v>
      </c>
      <c r="G435" t="s">
        <v>1014</v>
      </c>
      <c r="H435">
        <v>5000</v>
      </c>
      <c r="I435" t="s">
        <v>1027</v>
      </c>
      <c r="J435" t="s">
        <v>1030</v>
      </c>
      <c r="K435" t="s">
        <v>1031</v>
      </c>
    </row>
    <row r="436" spans="1:11" x14ac:dyDescent="0.25">
      <c r="A436" t="s">
        <v>435</v>
      </c>
      <c r="B436" s="1">
        <v>45757</v>
      </c>
      <c r="C436">
        <f t="shared" si="8"/>
        <v>2025</v>
      </c>
      <c r="D436" t="str">
        <f t="shared" si="9"/>
        <v>April</v>
      </c>
      <c r="E436" t="str">
        <f t="shared" si="10"/>
        <v>Week2</v>
      </c>
      <c r="F436" t="s">
        <v>1119</v>
      </c>
      <c r="G436" t="s">
        <v>1011</v>
      </c>
      <c r="H436">
        <v>25000</v>
      </c>
      <c r="I436" t="s">
        <v>1027</v>
      </c>
      <c r="J436" t="s">
        <v>1030</v>
      </c>
      <c r="K436" t="s">
        <v>1031</v>
      </c>
    </row>
    <row r="437" spans="1:11" x14ac:dyDescent="0.25">
      <c r="A437" t="s">
        <v>436</v>
      </c>
      <c r="B437" s="1">
        <v>45757</v>
      </c>
      <c r="C437">
        <f t="shared" si="8"/>
        <v>2025</v>
      </c>
      <c r="D437" t="str">
        <f t="shared" si="9"/>
        <v>April</v>
      </c>
      <c r="E437" t="str">
        <f t="shared" si="10"/>
        <v>Week2</v>
      </c>
      <c r="F437" t="s">
        <v>1102</v>
      </c>
      <c r="G437" t="s">
        <v>1011</v>
      </c>
      <c r="H437">
        <v>25000</v>
      </c>
      <c r="I437" t="s">
        <v>1027</v>
      </c>
      <c r="J437" t="s">
        <v>1030</v>
      </c>
      <c r="K437" t="s">
        <v>1031</v>
      </c>
    </row>
    <row r="438" spans="1:11" x14ac:dyDescent="0.25">
      <c r="A438" t="s">
        <v>437</v>
      </c>
      <c r="B438" s="1">
        <v>45757</v>
      </c>
      <c r="C438">
        <f t="shared" si="8"/>
        <v>2025</v>
      </c>
      <c r="D438" t="str">
        <f t="shared" si="9"/>
        <v>April</v>
      </c>
      <c r="E438" t="str">
        <f t="shared" si="10"/>
        <v>Week2</v>
      </c>
      <c r="F438" t="s">
        <v>1040</v>
      </c>
      <c r="G438" t="s">
        <v>1199</v>
      </c>
      <c r="H438">
        <v>24000</v>
      </c>
      <c r="I438" t="s">
        <v>1027</v>
      </c>
      <c r="J438" t="s">
        <v>1030</v>
      </c>
      <c r="K438" t="s">
        <v>1031</v>
      </c>
    </row>
    <row r="439" spans="1:11" x14ac:dyDescent="0.25">
      <c r="A439" t="s">
        <v>438</v>
      </c>
      <c r="B439" s="1">
        <v>45754</v>
      </c>
      <c r="C439">
        <f t="shared" si="8"/>
        <v>2025</v>
      </c>
      <c r="D439" t="str">
        <f t="shared" si="9"/>
        <v>April</v>
      </c>
      <c r="E439" t="str">
        <f t="shared" si="10"/>
        <v>Week1</v>
      </c>
      <c r="F439" t="s">
        <v>1120</v>
      </c>
      <c r="G439" t="s">
        <v>1014</v>
      </c>
      <c r="H439">
        <v>4800</v>
      </c>
      <c r="I439" t="s">
        <v>1027</v>
      </c>
      <c r="J439" t="s">
        <v>1030</v>
      </c>
      <c r="K439" t="s">
        <v>1031</v>
      </c>
    </row>
    <row r="440" spans="1:11" x14ac:dyDescent="0.25">
      <c r="A440" t="s">
        <v>439</v>
      </c>
      <c r="B440" s="1">
        <v>45757</v>
      </c>
      <c r="C440">
        <f t="shared" si="8"/>
        <v>2025</v>
      </c>
      <c r="D440" t="str">
        <f t="shared" si="9"/>
        <v>April</v>
      </c>
      <c r="E440" t="str">
        <f t="shared" si="10"/>
        <v>Week2</v>
      </c>
      <c r="F440" t="s">
        <v>1102</v>
      </c>
      <c r="G440" t="s">
        <v>1011</v>
      </c>
      <c r="H440">
        <v>22000</v>
      </c>
      <c r="I440" t="s">
        <v>1027</v>
      </c>
      <c r="J440" t="s">
        <v>1030</v>
      </c>
      <c r="K440" t="s">
        <v>1031</v>
      </c>
    </row>
    <row r="441" spans="1:11" x14ac:dyDescent="0.25">
      <c r="A441" t="s">
        <v>440</v>
      </c>
      <c r="B441" s="1">
        <v>45761</v>
      </c>
      <c r="C441">
        <f t="shared" si="8"/>
        <v>2025</v>
      </c>
      <c r="D441" t="str">
        <f t="shared" si="9"/>
        <v>April</v>
      </c>
      <c r="E441" t="str">
        <f t="shared" si="10"/>
        <v>Week2</v>
      </c>
      <c r="F441" t="s">
        <v>1035</v>
      </c>
      <c r="G441" t="s">
        <v>1197</v>
      </c>
      <c r="H441">
        <v>13000</v>
      </c>
      <c r="I441" t="s">
        <v>1027</v>
      </c>
      <c r="J441" t="s">
        <v>1030</v>
      </c>
      <c r="K441" t="s">
        <v>1031</v>
      </c>
    </row>
    <row r="442" spans="1:11" x14ac:dyDescent="0.25">
      <c r="A442" t="s">
        <v>441</v>
      </c>
      <c r="B442" s="1">
        <v>45771</v>
      </c>
      <c r="C442">
        <f t="shared" si="8"/>
        <v>2025</v>
      </c>
      <c r="D442" t="str">
        <f t="shared" si="9"/>
        <v>April</v>
      </c>
      <c r="E442" t="str">
        <f t="shared" si="10"/>
        <v>Week4</v>
      </c>
      <c r="F442" t="s">
        <v>1102</v>
      </c>
      <c r="G442" t="s">
        <v>1011</v>
      </c>
      <c r="H442">
        <v>25000</v>
      </c>
      <c r="I442" t="s">
        <v>1027</v>
      </c>
      <c r="J442" t="s">
        <v>1030</v>
      </c>
      <c r="K442" t="s">
        <v>1031</v>
      </c>
    </row>
    <row r="443" spans="1:11" x14ac:dyDescent="0.25">
      <c r="A443" t="s">
        <v>442</v>
      </c>
      <c r="B443" s="1">
        <v>45762</v>
      </c>
      <c r="C443">
        <f t="shared" si="8"/>
        <v>2025</v>
      </c>
      <c r="D443" t="str">
        <f t="shared" si="9"/>
        <v>April</v>
      </c>
      <c r="E443" t="str">
        <f t="shared" si="10"/>
        <v>Week3</v>
      </c>
      <c r="F443" t="s">
        <v>1143</v>
      </c>
      <c r="G443" t="s">
        <v>1198</v>
      </c>
      <c r="H443">
        <v>4000</v>
      </c>
      <c r="I443" t="s">
        <v>1029</v>
      </c>
      <c r="J443" t="s">
        <v>1030</v>
      </c>
      <c r="K443" t="s">
        <v>1031</v>
      </c>
    </row>
    <row r="444" spans="1:11" x14ac:dyDescent="0.25">
      <c r="A444" t="s">
        <v>443</v>
      </c>
      <c r="B444" s="1">
        <v>45763</v>
      </c>
      <c r="C444">
        <f t="shared" si="8"/>
        <v>2025</v>
      </c>
      <c r="D444" t="str">
        <f t="shared" si="9"/>
        <v>April</v>
      </c>
      <c r="E444" t="str">
        <f t="shared" si="10"/>
        <v>Week3</v>
      </c>
      <c r="F444" t="s">
        <v>1119</v>
      </c>
      <c r="G444" t="s">
        <v>1011</v>
      </c>
      <c r="H444">
        <v>25000</v>
      </c>
      <c r="I444" t="s">
        <v>1027</v>
      </c>
      <c r="J444" t="s">
        <v>1030</v>
      </c>
      <c r="K444" t="s">
        <v>1031</v>
      </c>
    </row>
    <row r="445" spans="1:11" x14ac:dyDescent="0.25">
      <c r="A445" t="s">
        <v>444</v>
      </c>
      <c r="B445" s="1">
        <v>45763</v>
      </c>
      <c r="C445">
        <f t="shared" si="8"/>
        <v>2025</v>
      </c>
      <c r="D445" t="str">
        <f t="shared" si="9"/>
        <v>April</v>
      </c>
      <c r="E445" t="str">
        <f t="shared" si="10"/>
        <v>Week3</v>
      </c>
      <c r="F445" t="s">
        <v>1021</v>
      </c>
      <c r="G445" t="s">
        <v>1010</v>
      </c>
      <c r="H445">
        <v>5000</v>
      </c>
      <c r="I445" t="s">
        <v>1028</v>
      </c>
      <c r="J445" t="s">
        <v>1030</v>
      </c>
      <c r="K445" t="s">
        <v>1031</v>
      </c>
    </row>
    <row r="446" spans="1:11" x14ac:dyDescent="0.25">
      <c r="A446" t="s">
        <v>445</v>
      </c>
      <c r="B446" s="1">
        <v>45765</v>
      </c>
      <c r="C446">
        <f t="shared" si="8"/>
        <v>2025</v>
      </c>
      <c r="D446" t="str">
        <f t="shared" si="9"/>
        <v>April</v>
      </c>
      <c r="E446" t="str">
        <f t="shared" si="10"/>
        <v>Week3</v>
      </c>
      <c r="F446" t="s">
        <v>1102</v>
      </c>
      <c r="G446" t="s">
        <v>1011</v>
      </c>
      <c r="H446">
        <v>25000</v>
      </c>
      <c r="I446" t="s">
        <v>1027</v>
      </c>
      <c r="J446" t="s">
        <v>1030</v>
      </c>
      <c r="K446" t="s">
        <v>1031</v>
      </c>
    </row>
    <row r="447" spans="1:11" x14ac:dyDescent="0.25">
      <c r="A447" t="s">
        <v>446</v>
      </c>
      <c r="B447" s="1">
        <v>45764</v>
      </c>
      <c r="C447">
        <f t="shared" si="8"/>
        <v>2025</v>
      </c>
      <c r="D447" t="str">
        <f t="shared" si="9"/>
        <v>April</v>
      </c>
      <c r="E447" t="str">
        <f t="shared" si="10"/>
        <v>Week3</v>
      </c>
      <c r="F447" t="s">
        <v>1102</v>
      </c>
      <c r="G447" t="s">
        <v>1011</v>
      </c>
      <c r="H447">
        <v>25000</v>
      </c>
      <c r="I447" t="s">
        <v>1027</v>
      </c>
      <c r="J447" t="s">
        <v>1030</v>
      </c>
      <c r="K447" t="s">
        <v>1031</v>
      </c>
    </row>
    <row r="448" spans="1:11" x14ac:dyDescent="0.25">
      <c r="A448" t="s">
        <v>447</v>
      </c>
      <c r="B448" s="1">
        <v>45768</v>
      </c>
      <c r="C448">
        <f t="shared" si="8"/>
        <v>2025</v>
      </c>
      <c r="D448" t="str">
        <f t="shared" si="9"/>
        <v>April</v>
      </c>
      <c r="E448" t="str">
        <f t="shared" si="10"/>
        <v>Week3</v>
      </c>
      <c r="F448" t="s">
        <v>1102</v>
      </c>
      <c r="G448" t="s">
        <v>1011</v>
      </c>
      <c r="H448">
        <v>25000</v>
      </c>
      <c r="I448" t="s">
        <v>1028</v>
      </c>
      <c r="J448" t="s">
        <v>1030</v>
      </c>
      <c r="K448" t="s">
        <v>1031</v>
      </c>
    </row>
    <row r="449" spans="1:11" x14ac:dyDescent="0.25">
      <c r="A449" t="s">
        <v>448</v>
      </c>
      <c r="B449" s="1">
        <v>45769</v>
      </c>
      <c r="C449">
        <f t="shared" si="8"/>
        <v>2025</v>
      </c>
      <c r="D449" t="str">
        <f t="shared" si="9"/>
        <v>April</v>
      </c>
      <c r="E449" t="str">
        <f t="shared" si="10"/>
        <v>Week4</v>
      </c>
      <c r="F449" t="s">
        <v>1018</v>
      </c>
      <c r="G449" t="s">
        <v>1013</v>
      </c>
      <c r="H449">
        <v>2000</v>
      </c>
      <c r="I449" t="s">
        <v>1027</v>
      </c>
      <c r="J449" t="s">
        <v>1030</v>
      </c>
      <c r="K449" t="s">
        <v>1031</v>
      </c>
    </row>
    <row r="450" spans="1:11" x14ac:dyDescent="0.25">
      <c r="A450" t="s">
        <v>449</v>
      </c>
      <c r="B450" s="1">
        <v>45771</v>
      </c>
      <c r="C450">
        <f t="shared" si="8"/>
        <v>2025</v>
      </c>
      <c r="D450" t="str">
        <f t="shared" si="9"/>
        <v>April</v>
      </c>
      <c r="E450" t="str">
        <f t="shared" si="10"/>
        <v>Week4</v>
      </c>
      <c r="F450" t="s">
        <v>1132</v>
      </c>
      <c r="G450" t="s">
        <v>1012</v>
      </c>
      <c r="H450">
        <v>9900</v>
      </c>
      <c r="I450" t="s">
        <v>1027</v>
      </c>
      <c r="J450" t="s">
        <v>1030</v>
      </c>
      <c r="K450" t="s">
        <v>1031</v>
      </c>
    </row>
    <row r="451" spans="1:11" x14ac:dyDescent="0.25">
      <c r="A451" t="s">
        <v>450</v>
      </c>
      <c r="B451" s="1">
        <v>45771</v>
      </c>
      <c r="C451">
        <f t="shared" si="8"/>
        <v>2025</v>
      </c>
      <c r="D451" t="str">
        <f t="shared" si="9"/>
        <v>April</v>
      </c>
      <c r="E451" t="str">
        <f t="shared" si="10"/>
        <v>Week4</v>
      </c>
      <c r="F451" t="s">
        <v>1144</v>
      </c>
      <c r="G451" t="s">
        <v>1198</v>
      </c>
      <c r="H451">
        <v>42000</v>
      </c>
      <c r="I451" t="s">
        <v>1028</v>
      </c>
      <c r="J451" t="s">
        <v>1030</v>
      </c>
      <c r="K451" t="s">
        <v>1031</v>
      </c>
    </row>
    <row r="452" spans="1:11" x14ac:dyDescent="0.25">
      <c r="A452" t="s">
        <v>451</v>
      </c>
      <c r="B452" s="1">
        <v>45410</v>
      </c>
      <c r="C452">
        <f t="shared" si="8"/>
        <v>2024</v>
      </c>
      <c r="D452" t="str">
        <f t="shared" si="9"/>
        <v>April</v>
      </c>
      <c r="E452" t="str">
        <f t="shared" si="10"/>
        <v>Week4</v>
      </c>
      <c r="F452" t="s">
        <v>1035</v>
      </c>
      <c r="G452" t="s">
        <v>1197</v>
      </c>
      <c r="H452">
        <v>13000</v>
      </c>
      <c r="I452" t="s">
        <v>1027</v>
      </c>
      <c r="J452" t="s">
        <v>1030</v>
      </c>
      <c r="K452" t="s">
        <v>1031</v>
      </c>
    </row>
    <row r="453" spans="1:11" x14ac:dyDescent="0.25">
      <c r="A453" t="s">
        <v>452</v>
      </c>
      <c r="B453" s="1">
        <v>45769</v>
      </c>
      <c r="C453">
        <f t="shared" si="8"/>
        <v>2025</v>
      </c>
      <c r="D453" t="str">
        <f t="shared" si="9"/>
        <v>April</v>
      </c>
      <c r="E453" t="str">
        <f t="shared" si="10"/>
        <v>Week4</v>
      </c>
      <c r="F453" t="s">
        <v>1035</v>
      </c>
      <c r="G453" t="s">
        <v>1197</v>
      </c>
      <c r="H453">
        <v>13000</v>
      </c>
      <c r="I453" t="s">
        <v>1027</v>
      </c>
      <c r="J453" t="s">
        <v>1030</v>
      </c>
      <c r="K453" t="s">
        <v>1031</v>
      </c>
    </row>
    <row r="454" spans="1:11" x14ac:dyDescent="0.25">
      <c r="A454" t="s">
        <v>453</v>
      </c>
      <c r="B454" s="1">
        <v>45775</v>
      </c>
      <c r="C454">
        <f t="shared" si="8"/>
        <v>2025</v>
      </c>
      <c r="D454" t="str">
        <f t="shared" si="9"/>
        <v>April</v>
      </c>
      <c r="E454" t="str">
        <f t="shared" si="10"/>
        <v>Week4</v>
      </c>
      <c r="F454" t="s">
        <v>1120</v>
      </c>
      <c r="G454" t="s">
        <v>1014</v>
      </c>
      <c r="H454">
        <v>4500</v>
      </c>
      <c r="I454" t="s">
        <v>1027</v>
      </c>
      <c r="J454" t="s">
        <v>1030</v>
      </c>
      <c r="K454" t="s">
        <v>1031</v>
      </c>
    </row>
    <row r="455" spans="1:11" x14ac:dyDescent="0.25">
      <c r="A455" t="s">
        <v>454</v>
      </c>
      <c r="B455" s="1">
        <v>45775</v>
      </c>
      <c r="C455">
        <f t="shared" ref="C455:C683" si="11">YEAR(B455)</f>
        <v>2025</v>
      </c>
      <c r="D455" t="str">
        <f t="shared" si="9"/>
        <v>April</v>
      </c>
      <c r="E455" t="str">
        <f t="shared" si="10"/>
        <v>Week4</v>
      </c>
      <c r="F455" t="s">
        <v>1102</v>
      </c>
      <c r="G455" t="s">
        <v>1011</v>
      </c>
      <c r="H455">
        <v>27000</v>
      </c>
      <c r="I455" t="s">
        <v>1027</v>
      </c>
      <c r="J455" t="s">
        <v>1030</v>
      </c>
      <c r="K455" t="s">
        <v>1031</v>
      </c>
    </row>
    <row r="456" spans="1:11" x14ac:dyDescent="0.25">
      <c r="A456" t="s">
        <v>455</v>
      </c>
      <c r="B456" s="1">
        <v>45776</v>
      </c>
      <c r="C456">
        <f t="shared" si="11"/>
        <v>2025</v>
      </c>
      <c r="D456" t="str">
        <f t="shared" si="9"/>
        <v>April</v>
      </c>
      <c r="E456" t="str">
        <f t="shared" si="10"/>
        <v>Week5</v>
      </c>
      <c r="F456" t="s">
        <v>1100</v>
      </c>
      <c r="G456" t="s">
        <v>1010</v>
      </c>
      <c r="H456">
        <v>6000</v>
      </c>
      <c r="I456" t="s">
        <v>1027</v>
      </c>
      <c r="J456" t="s">
        <v>1030</v>
      </c>
      <c r="K456" t="s">
        <v>1031</v>
      </c>
    </row>
    <row r="457" spans="1:11" x14ac:dyDescent="0.25">
      <c r="A457" t="s">
        <v>456</v>
      </c>
      <c r="B457" s="1">
        <v>45776</v>
      </c>
      <c r="C457">
        <f t="shared" si="11"/>
        <v>2025</v>
      </c>
      <c r="D457" t="str">
        <f t="shared" si="9"/>
        <v>April</v>
      </c>
      <c r="E457" t="str">
        <f t="shared" si="10"/>
        <v>Week5</v>
      </c>
      <c r="F457" t="s">
        <v>1023</v>
      </c>
      <c r="G457" t="s">
        <v>1201</v>
      </c>
      <c r="H457">
        <v>10000</v>
      </c>
      <c r="I457" t="s">
        <v>1029</v>
      </c>
      <c r="J457" t="s">
        <v>1030</v>
      </c>
      <c r="K457" t="s">
        <v>1031</v>
      </c>
    </row>
    <row r="458" spans="1:11" x14ac:dyDescent="0.25">
      <c r="A458" t="s">
        <v>457</v>
      </c>
      <c r="B458" s="1">
        <v>45776</v>
      </c>
      <c r="C458">
        <f t="shared" si="11"/>
        <v>2025</v>
      </c>
      <c r="D458" t="str">
        <f t="shared" si="9"/>
        <v>April</v>
      </c>
      <c r="E458" t="str">
        <f t="shared" si="10"/>
        <v>Week5</v>
      </c>
      <c r="F458" t="s">
        <v>1045</v>
      </c>
      <c r="G458" t="s">
        <v>1197</v>
      </c>
      <c r="H458">
        <v>40000</v>
      </c>
      <c r="I458" t="s">
        <v>1028</v>
      </c>
      <c r="J458" t="s">
        <v>1030</v>
      </c>
      <c r="K458" t="s">
        <v>1031</v>
      </c>
    </row>
    <row r="459" spans="1:11" x14ac:dyDescent="0.25">
      <c r="A459" t="s">
        <v>458</v>
      </c>
      <c r="B459" s="1">
        <v>45777</v>
      </c>
      <c r="C459">
        <f t="shared" si="11"/>
        <v>2025</v>
      </c>
      <c r="D459" t="str">
        <f t="shared" si="9"/>
        <v>April</v>
      </c>
      <c r="E459" t="str">
        <f t="shared" si="10"/>
        <v>Week5</v>
      </c>
      <c r="F459" t="s">
        <v>1102</v>
      </c>
      <c r="G459" t="s">
        <v>1011</v>
      </c>
      <c r="H459">
        <v>22000</v>
      </c>
      <c r="I459" t="s">
        <v>1027</v>
      </c>
      <c r="J459" t="s">
        <v>1030</v>
      </c>
      <c r="K459" t="s">
        <v>1031</v>
      </c>
    </row>
    <row r="460" spans="1:11" x14ac:dyDescent="0.25">
      <c r="A460" t="s">
        <v>459</v>
      </c>
      <c r="B460" s="1">
        <v>45762</v>
      </c>
      <c r="C460">
        <f t="shared" si="11"/>
        <v>2025</v>
      </c>
      <c r="D460" t="str">
        <f t="shared" si="9"/>
        <v>April</v>
      </c>
      <c r="E460" t="str">
        <f t="shared" si="10"/>
        <v>Week3</v>
      </c>
      <c r="F460" t="s">
        <v>1145</v>
      </c>
      <c r="G460" t="s">
        <v>1010</v>
      </c>
      <c r="H460">
        <v>12000</v>
      </c>
      <c r="I460" t="s">
        <v>1029</v>
      </c>
      <c r="J460" t="s">
        <v>1030</v>
      </c>
      <c r="K460" t="s">
        <v>1031</v>
      </c>
    </row>
    <row r="461" spans="1:11" x14ac:dyDescent="0.25">
      <c r="A461" t="s">
        <v>460</v>
      </c>
      <c r="B461" s="1">
        <v>45777</v>
      </c>
      <c r="C461">
        <f t="shared" si="11"/>
        <v>2025</v>
      </c>
      <c r="D461" t="str">
        <f t="shared" si="9"/>
        <v>April</v>
      </c>
      <c r="E461" t="str">
        <f t="shared" si="10"/>
        <v>Week5</v>
      </c>
      <c r="F461" t="s">
        <v>1025</v>
      </c>
      <c r="G461" t="s">
        <v>1014</v>
      </c>
      <c r="H461">
        <v>5000</v>
      </c>
      <c r="I461" t="s">
        <v>1027</v>
      </c>
      <c r="J461" t="s">
        <v>1030</v>
      </c>
      <c r="K461" t="s">
        <v>1031</v>
      </c>
    </row>
    <row r="462" spans="1:11" x14ac:dyDescent="0.25">
      <c r="A462" t="s">
        <v>461</v>
      </c>
      <c r="B462" s="1">
        <v>45778</v>
      </c>
      <c r="C462">
        <f t="shared" si="11"/>
        <v>2025</v>
      </c>
      <c r="D462" t="str">
        <f t="shared" si="9"/>
        <v>May</v>
      </c>
      <c r="E462" t="str">
        <f t="shared" si="10"/>
        <v>Week1</v>
      </c>
      <c r="F462" t="s">
        <v>1102</v>
      </c>
      <c r="G462" t="s">
        <v>1011</v>
      </c>
      <c r="H462">
        <v>25000</v>
      </c>
      <c r="I462" t="s">
        <v>1028</v>
      </c>
      <c r="J462" t="s">
        <v>1030</v>
      </c>
      <c r="K462" t="s">
        <v>1031</v>
      </c>
    </row>
    <row r="463" spans="1:11" x14ac:dyDescent="0.25">
      <c r="A463" t="s">
        <v>462</v>
      </c>
      <c r="B463" s="1">
        <v>45779</v>
      </c>
      <c r="C463">
        <f t="shared" si="11"/>
        <v>2025</v>
      </c>
      <c r="D463" t="str">
        <f t="shared" si="9"/>
        <v>May</v>
      </c>
      <c r="E463" t="str">
        <f t="shared" si="10"/>
        <v>Week1</v>
      </c>
      <c r="F463" t="s">
        <v>1018</v>
      </c>
      <c r="G463" t="s">
        <v>1013</v>
      </c>
      <c r="H463">
        <v>4000</v>
      </c>
      <c r="I463" t="s">
        <v>1027</v>
      </c>
      <c r="J463" t="s">
        <v>1030</v>
      </c>
      <c r="K463" t="s">
        <v>1031</v>
      </c>
    </row>
    <row r="464" spans="1:11" x14ac:dyDescent="0.25">
      <c r="A464" t="s">
        <v>463</v>
      </c>
      <c r="B464" s="1">
        <v>45782</v>
      </c>
      <c r="C464">
        <f t="shared" si="11"/>
        <v>2025</v>
      </c>
      <c r="D464" t="str">
        <f t="shared" si="9"/>
        <v>May</v>
      </c>
      <c r="E464" t="str">
        <f t="shared" si="10"/>
        <v>Week1</v>
      </c>
      <c r="F464" t="s">
        <v>1035</v>
      </c>
      <c r="G464" t="s">
        <v>1197</v>
      </c>
      <c r="H464">
        <v>13000</v>
      </c>
      <c r="I464" t="s">
        <v>1029</v>
      </c>
      <c r="J464" t="s">
        <v>1030</v>
      </c>
      <c r="K464" t="s">
        <v>1031</v>
      </c>
    </row>
    <row r="465" spans="1:11" x14ac:dyDescent="0.25">
      <c r="A465" t="s">
        <v>464</v>
      </c>
      <c r="B465" s="1">
        <v>45782</v>
      </c>
      <c r="C465">
        <f t="shared" si="11"/>
        <v>2025</v>
      </c>
      <c r="D465" t="str">
        <f t="shared" si="9"/>
        <v>May</v>
      </c>
      <c r="E465" t="str">
        <f t="shared" si="10"/>
        <v>Week1</v>
      </c>
      <c r="F465" t="s">
        <v>1102</v>
      </c>
      <c r="G465" t="s">
        <v>1011</v>
      </c>
      <c r="H465">
        <v>25000</v>
      </c>
      <c r="I465" t="s">
        <v>1028</v>
      </c>
      <c r="J465" t="s">
        <v>1030</v>
      </c>
      <c r="K465" t="s">
        <v>1031</v>
      </c>
    </row>
    <row r="466" spans="1:11" x14ac:dyDescent="0.25">
      <c r="A466" t="s">
        <v>465</v>
      </c>
      <c r="B466" s="1">
        <v>45782</v>
      </c>
      <c r="C466">
        <f t="shared" si="11"/>
        <v>2025</v>
      </c>
      <c r="D466" t="str">
        <f t="shared" si="9"/>
        <v>May</v>
      </c>
      <c r="E466" t="str">
        <f t="shared" si="10"/>
        <v>Week1</v>
      </c>
      <c r="F466" t="s">
        <v>1119</v>
      </c>
      <c r="G466" t="s">
        <v>1011</v>
      </c>
      <c r="H466">
        <v>20000</v>
      </c>
      <c r="I466" t="s">
        <v>1027</v>
      </c>
      <c r="J466" t="s">
        <v>1030</v>
      </c>
      <c r="K466" t="s">
        <v>1031</v>
      </c>
    </row>
    <row r="467" spans="1:11" x14ac:dyDescent="0.25">
      <c r="A467" t="s">
        <v>466</v>
      </c>
      <c r="B467" s="1">
        <v>45783</v>
      </c>
      <c r="C467">
        <f t="shared" si="11"/>
        <v>2025</v>
      </c>
      <c r="D467" t="str">
        <f t="shared" si="9"/>
        <v>May</v>
      </c>
      <c r="E467" t="str">
        <f t="shared" si="10"/>
        <v>Week1</v>
      </c>
      <c r="F467" t="s">
        <v>1018</v>
      </c>
      <c r="G467" t="s">
        <v>1013</v>
      </c>
      <c r="H467">
        <v>6000</v>
      </c>
      <c r="I467" t="s">
        <v>1027</v>
      </c>
      <c r="J467" t="s">
        <v>1030</v>
      </c>
      <c r="K467" t="s">
        <v>1031</v>
      </c>
    </row>
    <row r="468" spans="1:11" x14ac:dyDescent="0.25">
      <c r="A468" t="s">
        <v>467</v>
      </c>
      <c r="B468" s="1">
        <v>45783</v>
      </c>
      <c r="C468">
        <f t="shared" si="11"/>
        <v>2025</v>
      </c>
      <c r="D468" t="str">
        <f t="shared" si="9"/>
        <v>May</v>
      </c>
      <c r="E468" t="str">
        <f t="shared" si="10"/>
        <v>Week1</v>
      </c>
      <c r="F468" t="s">
        <v>1033</v>
      </c>
      <c r="G468" t="s">
        <v>1014</v>
      </c>
      <c r="H468">
        <v>116300</v>
      </c>
      <c r="I468" t="s">
        <v>1027</v>
      </c>
      <c r="J468" t="s">
        <v>1030</v>
      </c>
      <c r="K468" t="s">
        <v>1031</v>
      </c>
    </row>
    <row r="469" spans="1:11" x14ac:dyDescent="0.25">
      <c r="A469" t="s">
        <v>468</v>
      </c>
      <c r="B469" s="1">
        <v>45784</v>
      </c>
      <c r="C469">
        <f t="shared" si="11"/>
        <v>2025</v>
      </c>
      <c r="D469" t="str">
        <f t="shared" si="9"/>
        <v>May</v>
      </c>
      <c r="E469" t="str">
        <f t="shared" si="10"/>
        <v>Week1</v>
      </c>
      <c r="F469" t="s">
        <v>1018</v>
      </c>
      <c r="G469" t="s">
        <v>1013</v>
      </c>
      <c r="H469">
        <v>2000</v>
      </c>
      <c r="I469" t="s">
        <v>1027</v>
      </c>
      <c r="J469" t="s">
        <v>1030</v>
      </c>
      <c r="K469" t="s">
        <v>1031</v>
      </c>
    </row>
    <row r="470" spans="1:11" x14ac:dyDescent="0.25">
      <c r="A470" t="s">
        <v>469</v>
      </c>
      <c r="B470" s="1">
        <v>45779</v>
      </c>
      <c r="C470">
        <f t="shared" si="11"/>
        <v>2025</v>
      </c>
      <c r="D470" t="str">
        <f t="shared" si="9"/>
        <v>May</v>
      </c>
      <c r="E470" t="str">
        <f t="shared" si="10"/>
        <v>Week1</v>
      </c>
      <c r="F470" t="s">
        <v>1049</v>
      </c>
      <c r="G470" t="s">
        <v>1199</v>
      </c>
      <c r="H470">
        <v>24000</v>
      </c>
      <c r="I470" t="s">
        <v>1027</v>
      </c>
      <c r="J470" t="s">
        <v>1030</v>
      </c>
      <c r="K470" t="s">
        <v>1031</v>
      </c>
    </row>
    <row r="471" spans="1:11" x14ac:dyDescent="0.25">
      <c r="A471" t="s">
        <v>470</v>
      </c>
      <c r="B471" s="1">
        <v>45782</v>
      </c>
      <c r="C471">
        <f t="shared" si="11"/>
        <v>2025</v>
      </c>
      <c r="D471" t="str">
        <f t="shared" si="9"/>
        <v>May</v>
      </c>
      <c r="E471" t="str">
        <f t="shared" si="10"/>
        <v>Week1</v>
      </c>
      <c r="F471" t="s">
        <v>1037</v>
      </c>
      <c r="G471" t="s">
        <v>1199</v>
      </c>
      <c r="H471">
        <v>24000</v>
      </c>
      <c r="I471" t="s">
        <v>1027</v>
      </c>
      <c r="J471" t="s">
        <v>1030</v>
      </c>
      <c r="K471" t="s">
        <v>1031</v>
      </c>
    </row>
    <row r="472" spans="1:11" x14ac:dyDescent="0.25">
      <c r="A472" t="s">
        <v>471</v>
      </c>
      <c r="B472" s="1">
        <v>45785</v>
      </c>
      <c r="C472">
        <f t="shared" si="11"/>
        <v>2025</v>
      </c>
      <c r="D472" t="str">
        <f t="shared" si="9"/>
        <v>May</v>
      </c>
      <c r="E472" t="str">
        <f t="shared" si="10"/>
        <v>Week2</v>
      </c>
      <c r="F472" t="s">
        <v>1100</v>
      </c>
      <c r="G472" t="s">
        <v>1010</v>
      </c>
      <c r="H472">
        <v>15000</v>
      </c>
      <c r="I472" t="s">
        <v>1027</v>
      </c>
      <c r="J472" t="s">
        <v>1030</v>
      </c>
      <c r="K472" t="s">
        <v>1031</v>
      </c>
    </row>
    <row r="473" spans="1:11" x14ac:dyDescent="0.25">
      <c r="A473" t="s">
        <v>472</v>
      </c>
      <c r="B473" s="1">
        <v>45785</v>
      </c>
      <c r="C473">
        <f t="shared" si="11"/>
        <v>2025</v>
      </c>
      <c r="D473" t="str">
        <f t="shared" si="9"/>
        <v>May</v>
      </c>
      <c r="E473" t="str">
        <f t="shared" si="10"/>
        <v>Week2</v>
      </c>
      <c r="F473" t="s">
        <v>1146</v>
      </c>
      <c r="G473" t="s">
        <v>1010</v>
      </c>
      <c r="H473">
        <v>50000</v>
      </c>
      <c r="I473" t="s">
        <v>1027</v>
      </c>
      <c r="J473" t="s">
        <v>1030</v>
      </c>
      <c r="K473" t="s">
        <v>1031</v>
      </c>
    </row>
    <row r="474" spans="1:11" x14ac:dyDescent="0.25">
      <c r="A474" t="s">
        <v>473</v>
      </c>
      <c r="B474" s="1">
        <v>45789</v>
      </c>
      <c r="C474">
        <f t="shared" si="11"/>
        <v>2025</v>
      </c>
      <c r="D474" t="str">
        <f t="shared" si="9"/>
        <v>May</v>
      </c>
      <c r="E474" t="str">
        <f t="shared" si="10"/>
        <v>Week2</v>
      </c>
      <c r="F474" t="s">
        <v>1035</v>
      </c>
      <c r="G474" t="s">
        <v>1197</v>
      </c>
      <c r="H474">
        <v>13000</v>
      </c>
      <c r="I474" t="s">
        <v>1027</v>
      </c>
      <c r="J474" t="s">
        <v>1030</v>
      </c>
      <c r="K474" t="s">
        <v>1031</v>
      </c>
    </row>
    <row r="475" spans="1:11" x14ac:dyDescent="0.25">
      <c r="A475" t="s">
        <v>474</v>
      </c>
      <c r="B475" s="1">
        <v>45790</v>
      </c>
      <c r="C475">
        <f t="shared" si="11"/>
        <v>2025</v>
      </c>
      <c r="D475" t="str">
        <f t="shared" si="9"/>
        <v>May</v>
      </c>
      <c r="E475" t="str">
        <f t="shared" si="10"/>
        <v>Week2</v>
      </c>
      <c r="F475" t="s">
        <v>1120</v>
      </c>
      <c r="G475" t="s">
        <v>1014</v>
      </c>
      <c r="H475">
        <v>4500</v>
      </c>
      <c r="I475" t="s">
        <v>1029</v>
      </c>
      <c r="J475" t="s">
        <v>1030</v>
      </c>
      <c r="K475" t="s">
        <v>1031</v>
      </c>
    </row>
    <row r="476" spans="1:11" x14ac:dyDescent="0.25">
      <c r="A476" t="s">
        <v>475</v>
      </c>
      <c r="B476" s="1">
        <v>45791</v>
      </c>
      <c r="C476">
        <f t="shared" si="11"/>
        <v>2025</v>
      </c>
      <c r="D476" t="str">
        <f t="shared" si="9"/>
        <v>May</v>
      </c>
      <c r="E476" t="str">
        <f t="shared" si="10"/>
        <v>Week2</v>
      </c>
      <c r="F476" t="s">
        <v>1134</v>
      </c>
      <c r="G476" t="s">
        <v>1012</v>
      </c>
      <c r="H476">
        <v>60500</v>
      </c>
      <c r="I476" t="s">
        <v>1027</v>
      </c>
      <c r="J476" t="s">
        <v>1030</v>
      </c>
      <c r="K476" t="s">
        <v>1031</v>
      </c>
    </row>
    <row r="477" spans="1:11" x14ac:dyDescent="0.25">
      <c r="A477" t="s">
        <v>476</v>
      </c>
      <c r="B477" s="1">
        <v>45791</v>
      </c>
      <c r="C477">
        <f t="shared" si="11"/>
        <v>2025</v>
      </c>
      <c r="D477" t="str">
        <f t="shared" si="9"/>
        <v>May</v>
      </c>
      <c r="E477" t="str">
        <f t="shared" si="10"/>
        <v>Week2</v>
      </c>
      <c r="F477" t="s">
        <v>1147</v>
      </c>
      <c r="G477" t="s">
        <v>1010</v>
      </c>
      <c r="H477">
        <v>5000</v>
      </c>
      <c r="I477" t="s">
        <v>1029</v>
      </c>
      <c r="J477" t="s">
        <v>1030</v>
      </c>
      <c r="K477" t="s">
        <v>1031</v>
      </c>
    </row>
    <row r="478" spans="1:11" x14ac:dyDescent="0.25">
      <c r="A478" t="s">
        <v>477</v>
      </c>
      <c r="B478" s="1">
        <v>45792</v>
      </c>
      <c r="C478">
        <f t="shared" si="11"/>
        <v>2025</v>
      </c>
      <c r="D478" t="str">
        <f t="shared" si="9"/>
        <v>May</v>
      </c>
      <c r="E478" t="str">
        <f t="shared" si="10"/>
        <v>Week3</v>
      </c>
      <c r="F478" t="s">
        <v>1148</v>
      </c>
      <c r="G478" t="s">
        <v>1198</v>
      </c>
      <c r="H478">
        <v>30000</v>
      </c>
      <c r="I478" t="s">
        <v>1027</v>
      </c>
      <c r="J478" t="s">
        <v>1030</v>
      </c>
      <c r="K478" t="s">
        <v>1031</v>
      </c>
    </row>
    <row r="479" spans="1:11" x14ac:dyDescent="0.25">
      <c r="A479" t="s">
        <v>478</v>
      </c>
      <c r="B479" s="1">
        <v>45783</v>
      </c>
      <c r="C479">
        <f t="shared" si="11"/>
        <v>2025</v>
      </c>
      <c r="D479" t="str">
        <f t="shared" si="9"/>
        <v>May</v>
      </c>
      <c r="E479" t="str">
        <f t="shared" si="10"/>
        <v>Week1</v>
      </c>
      <c r="F479" t="s">
        <v>1025</v>
      </c>
      <c r="G479" t="s">
        <v>1014</v>
      </c>
      <c r="H479">
        <v>5000</v>
      </c>
      <c r="I479" t="s">
        <v>1029</v>
      </c>
      <c r="J479" t="s">
        <v>1030</v>
      </c>
      <c r="K479" t="s">
        <v>1031</v>
      </c>
    </row>
    <row r="480" spans="1:11" x14ac:dyDescent="0.25">
      <c r="A480" t="s">
        <v>479</v>
      </c>
      <c r="B480" s="1">
        <v>45796</v>
      </c>
      <c r="C480">
        <f t="shared" si="11"/>
        <v>2025</v>
      </c>
      <c r="D480" t="str">
        <f t="shared" si="9"/>
        <v>May</v>
      </c>
      <c r="E480" t="str">
        <f t="shared" si="10"/>
        <v>Week3</v>
      </c>
      <c r="F480" t="s">
        <v>1121</v>
      </c>
      <c r="G480" t="s">
        <v>1010</v>
      </c>
      <c r="H480">
        <v>25000</v>
      </c>
      <c r="I480" t="s">
        <v>1027</v>
      </c>
      <c r="J480" t="s">
        <v>1030</v>
      </c>
      <c r="K480" t="s">
        <v>1031</v>
      </c>
    </row>
    <row r="481" spans="1:11" x14ac:dyDescent="0.25">
      <c r="A481" t="s">
        <v>480</v>
      </c>
      <c r="B481" s="1">
        <v>45799</v>
      </c>
      <c r="C481">
        <f t="shared" si="11"/>
        <v>2025</v>
      </c>
      <c r="D481" t="str">
        <f t="shared" si="9"/>
        <v>May</v>
      </c>
      <c r="E481" t="str">
        <f t="shared" si="10"/>
        <v>Week4</v>
      </c>
      <c r="F481" t="s">
        <v>1119</v>
      </c>
      <c r="G481" t="s">
        <v>1011</v>
      </c>
      <c r="H481">
        <v>22000</v>
      </c>
      <c r="I481" t="s">
        <v>1027</v>
      </c>
      <c r="J481" t="s">
        <v>1030</v>
      </c>
      <c r="K481" t="s">
        <v>1031</v>
      </c>
    </row>
    <row r="482" spans="1:11" x14ac:dyDescent="0.25">
      <c r="A482" t="s">
        <v>481</v>
      </c>
      <c r="B482" s="1">
        <v>45799</v>
      </c>
      <c r="C482">
        <f t="shared" si="11"/>
        <v>2025</v>
      </c>
      <c r="D482" t="str">
        <f t="shared" si="9"/>
        <v>May</v>
      </c>
      <c r="E482" t="str">
        <f t="shared" si="10"/>
        <v>Week4</v>
      </c>
      <c r="F482" t="s">
        <v>1149</v>
      </c>
      <c r="G482" t="s">
        <v>1015</v>
      </c>
      <c r="H482">
        <v>12000</v>
      </c>
      <c r="I482" t="s">
        <v>1029</v>
      </c>
      <c r="J482" t="s">
        <v>1030</v>
      </c>
      <c r="K482" t="s">
        <v>1031</v>
      </c>
    </row>
    <row r="483" spans="1:11" x14ac:dyDescent="0.25">
      <c r="A483" t="s">
        <v>482</v>
      </c>
      <c r="B483" s="1">
        <v>45799</v>
      </c>
      <c r="C483">
        <f t="shared" si="11"/>
        <v>2025</v>
      </c>
      <c r="D483" t="str">
        <f t="shared" si="9"/>
        <v>May</v>
      </c>
      <c r="E483" t="str">
        <f t="shared" si="10"/>
        <v>Week4</v>
      </c>
      <c r="F483" t="s">
        <v>1150</v>
      </c>
      <c r="G483" t="s">
        <v>1015</v>
      </c>
      <c r="H483">
        <v>105000</v>
      </c>
      <c r="I483" t="s">
        <v>1027</v>
      </c>
      <c r="J483" t="s">
        <v>1030</v>
      </c>
      <c r="K483" t="s">
        <v>1031</v>
      </c>
    </row>
    <row r="484" spans="1:11" x14ac:dyDescent="0.25">
      <c r="A484" t="s">
        <v>483</v>
      </c>
      <c r="B484" s="1">
        <v>45799</v>
      </c>
      <c r="C484">
        <f t="shared" si="11"/>
        <v>2025</v>
      </c>
      <c r="D484" t="str">
        <f t="shared" si="9"/>
        <v>May</v>
      </c>
      <c r="E484" t="str">
        <f t="shared" si="10"/>
        <v>Week4</v>
      </c>
      <c r="F484" t="s">
        <v>1151</v>
      </c>
      <c r="G484" t="s">
        <v>1010</v>
      </c>
      <c r="H484">
        <v>10000</v>
      </c>
      <c r="I484" t="s">
        <v>1029</v>
      </c>
      <c r="J484" t="s">
        <v>1030</v>
      </c>
      <c r="K484" t="s">
        <v>1031</v>
      </c>
    </row>
    <row r="485" spans="1:11" x14ac:dyDescent="0.25">
      <c r="A485" t="s">
        <v>484</v>
      </c>
      <c r="B485" s="1">
        <v>45803</v>
      </c>
      <c r="C485">
        <f t="shared" si="11"/>
        <v>2025</v>
      </c>
      <c r="D485" t="str">
        <f t="shared" si="9"/>
        <v>May</v>
      </c>
      <c r="E485" t="str">
        <f t="shared" si="10"/>
        <v>Week4</v>
      </c>
      <c r="F485" t="s">
        <v>1018</v>
      </c>
      <c r="G485" t="s">
        <v>1013</v>
      </c>
      <c r="H485">
        <v>2000</v>
      </c>
      <c r="I485" t="s">
        <v>1029</v>
      </c>
      <c r="J485" t="s">
        <v>1030</v>
      </c>
      <c r="K485" t="s">
        <v>1031</v>
      </c>
    </row>
    <row r="486" spans="1:11" x14ac:dyDescent="0.25">
      <c r="A486" t="s">
        <v>485</v>
      </c>
      <c r="B486" s="1">
        <v>45804</v>
      </c>
      <c r="C486">
        <f t="shared" si="11"/>
        <v>2025</v>
      </c>
      <c r="D486" t="str">
        <f t="shared" si="9"/>
        <v>May</v>
      </c>
      <c r="E486" t="str">
        <f t="shared" si="10"/>
        <v>Week4</v>
      </c>
      <c r="F486" t="s">
        <v>1152</v>
      </c>
      <c r="G486" t="s">
        <v>1198</v>
      </c>
      <c r="H486">
        <v>7800</v>
      </c>
      <c r="I486" t="s">
        <v>1029</v>
      </c>
      <c r="J486" t="s">
        <v>1030</v>
      </c>
      <c r="K486" t="s">
        <v>1031</v>
      </c>
    </row>
    <row r="487" spans="1:11" x14ac:dyDescent="0.25">
      <c r="A487" t="s">
        <v>486</v>
      </c>
      <c r="B487" s="1">
        <v>45805</v>
      </c>
      <c r="C487">
        <f t="shared" si="11"/>
        <v>2025</v>
      </c>
      <c r="D487" t="str">
        <f t="shared" si="9"/>
        <v>May</v>
      </c>
      <c r="E487" t="str">
        <f t="shared" si="10"/>
        <v>Week4</v>
      </c>
      <c r="F487" t="s">
        <v>1153</v>
      </c>
      <c r="G487" t="s">
        <v>1010</v>
      </c>
      <c r="H487">
        <v>15000</v>
      </c>
      <c r="I487" t="s">
        <v>1029</v>
      </c>
      <c r="J487" t="s">
        <v>1030</v>
      </c>
      <c r="K487" t="s">
        <v>1031</v>
      </c>
    </row>
    <row r="488" spans="1:11" x14ac:dyDescent="0.25">
      <c r="A488" t="s">
        <v>487</v>
      </c>
      <c r="B488" s="1">
        <v>45805</v>
      </c>
      <c r="C488">
        <f t="shared" si="11"/>
        <v>2025</v>
      </c>
      <c r="D488" t="str">
        <f t="shared" si="9"/>
        <v>May</v>
      </c>
      <c r="E488" t="str">
        <f t="shared" si="10"/>
        <v>Week4</v>
      </c>
      <c r="F488" t="s">
        <v>1021</v>
      </c>
      <c r="G488" t="s">
        <v>1010</v>
      </c>
      <c r="H488">
        <v>3000</v>
      </c>
      <c r="I488" t="s">
        <v>1029</v>
      </c>
      <c r="J488" t="s">
        <v>1030</v>
      </c>
      <c r="K488" t="s">
        <v>1031</v>
      </c>
    </row>
    <row r="489" spans="1:11" x14ac:dyDescent="0.25">
      <c r="A489" t="s">
        <v>488</v>
      </c>
      <c r="B489" s="1">
        <v>45806</v>
      </c>
      <c r="C489">
        <f t="shared" si="11"/>
        <v>2025</v>
      </c>
      <c r="D489" t="str">
        <f t="shared" si="9"/>
        <v>May</v>
      </c>
      <c r="E489" t="str">
        <f t="shared" si="10"/>
        <v>Week5</v>
      </c>
      <c r="F489" t="s">
        <v>1040</v>
      </c>
      <c r="G489" t="s">
        <v>1199</v>
      </c>
      <c r="H489">
        <v>24000</v>
      </c>
      <c r="I489" t="s">
        <v>1027</v>
      </c>
      <c r="J489" t="s">
        <v>1030</v>
      </c>
      <c r="K489" t="s">
        <v>1031</v>
      </c>
    </row>
    <row r="490" spans="1:11" x14ac:dyDescent="0.25">
      <c r="A490" t="s">
        <v>489</v>
      </c>
      <c r="B490" s="1">
        <v>45806</v>
      </c>
      <c r="C490">
        <f t="shared" si="11"/>
        <v>2025</v>
      </c>
      <c r="D490" t="str">
        <f t="shared" si="9"/>
        <v>May</v>
      </c>
      <c r="E490" t="str">
        <f t="shared" si="10"/>
        <v>Week5</v>
      </c>
      <c r="F490" t="s">
        <v>1068</v>
      </c>
      <c r="G490" t="s">
        <v>1011</v>
      </c>
      <c r="H490">
        <v>22000</v>
      </c>
      <c r="I490" t="s">
        <v>1027</v>
      </c>
      <c r="J490" t="s">
        <v>1030</v>
      </c>
      <c r="K490" t="s">
        <v>1031</v>
      </c>
    </row>
    <row r="491" spans="1:11" x14ac:dyDescent="0.25">
      <c r="A491" t="s">
        <v>490</v>
      </c>
      <c r="B491" s="1">
        <v>45806</v>
      </c>
      <c r="C491">
        <f t="shared" si="11"/>
        <v>2025</v>
      </c>
      <c r="D491" t="str">
        <f t="shared" si="9"/>
        <v>May</v>
      </c>
      <c r="E491" t="str">
        <f t="shared" si="10"/>
        <v>Week5</v>
      </c>
      <c r="F491" t="s">
        <v>1119</v>
      </c>
      <c r="G491" t="s">
        <v>1011</v>
      </c>
      <c r="H491">
        <v>25000</v>
      </c>
      <c r="I491" t="s">
        <v>1027</v>
      </c>
      <c r="J491" t="s">
        <v>1030</v>
      </c>
      <c r="K491" t="s">
        <v>1031</v>
      </c>
    </row>
    <row r="492" spans="1:11" x14ac:dyDescent="0.25">
      <c r="A492" t="s">
        <v>491</v>
      </c>
      <c r="B492" s="1">
        <v>45806</v>
      </c>
      <c r="C492">
        <f t="shared" si="11"/>
        <v>2025</v>
      </c>
      <c r="D492" t="str">
        <f t="shared" si="9"/>
        <v>May</v>
      </c>
      <c r="E492" t="str">
        <f t="shared" si="10"/>
        <v>Week5</v>
      </c>
      <c r="F492" t="s">
        <v>1120</v>
      </c>
      <c r="G492" t="s">
        <v>1014</v>
      </c>
      <c r="H492">
        <v>4500</v>
      </c>
      <c r="I492" t="s">
        <v>1029</v>
      </c>
      <c r="J492" t="s">
        <v>1030</v>
      </c>
      <c r="K492" t="s">
        <v>1031</v>
      </c>
    </row>
    <row r="493" spans="1:11" x14ac:dyDescent="0.25">
      <c r="A493" t="s">
        <v>492</v>
      </c>
      <c r="B493" s="1">
        <v>45807</v>
      </c>
      <c r="C493">
        <f t="shared" si="11"/>
        <v>2025</v>
      </c>
      <c r="D493" t="str">
        <f t="shared" si="9"/>
        <v>May</v>
      </c>
      <c r="E493" t="str">
        <f t="shared" si="10"/>
        <v>Week5</v>
      </c>
      <c r="F493" t="s">
        <v>1023</v>
      </c>
      <c r="G493" t="s">
        <v>1201</v>
      </c>
      <c r="H493">
        <v>10000</v>
      </c>
      <c r="I493" t="s">
        <v>1029</v>
      </c>
      <c r="J493" t="s">
        <v>1030</v>
      </c>
      <c r="K493" t="s">
        <v>1031</v>
      </c>
    </row>
    <row r="494" spans="1:11" x14ac:dyDescent="0.25">
      <c r="A494" t="s">
        <v>493</v>
      </c>
      <c r="B494" s="1">
        <v>45807</v>
      </c>
      <c r="C494">
        <f t="shared" si="11"/>
        <v>2025</v>
      </c>
      <c r="D494" t="str">
        <f t="shared" si="9"/>
        <v>May</v>
      </c>
      <c r="E494" t="str">
        <f t="shared" si="10"/>
        <v>Week5</v>
      </c>
      <c r="F494" t="s">
        <v>1098</v>
      </c>
      <c r="G494" t="s">
        <v>1015</v>
      </c>
      <c r="H494">
        <v>3000</v>
      </c>
      <c r="I494" t="s">
        <v>1027</v>
      </c>
      <c r="J494" t="s">
        <v>1030</v>
      </c>
      <c r="K494" t="s">
        <v>1031</v>
      </c>
    </row>
    <row r="495" spans="1:11" x14ac:dyDescent="0.25">
      <c r="A495" t="s">
        <v>494</v>
      </c>
      <c r="B495" s="1">
        <v>45803</v>
      </c>
      <c r="C495">
        <f t="shared" si="11"/>
        <v>2025</v>
      </c>
      <c r="D495" t="str">
        <f t="shared" si="9"/>
        <v>May</v>
      </c>
      <c r="E495" t="str">
        <f t="shared" si="10"/>
        <v>Week4</v>
      </c>
      <c r="F495" t="s">
        <v>1035</v>
      </c>
      <c r="G495" t="s">
        <v>1197</v>
      </c>
      <c r="H495">
        <v>13000</v>
      </c>
      <c r="I495" t="s">
        <v>1027</v>
      </c>
      <c r="J495" t="s">
        <v>1030</v>
      </c>
      <c r="K495" t="s">
        <v>1031</v>
      </c>
    </row>
    <row r="496" spans="1:11" x14ac:dyDescent="0.25">
      <c r="A496" t="s">
        <v>495</v>
      </c>
      <c r="B496" s="1">
        <v>45810</v>
      </c>
      <c r="C496">
        <f t="shared" si="11"/>
        <v>2025</v>
      </c>
      <c r="D496" t="str">
        <f t="shared" si="9"/>
        <v>June</v>
      </c>
      <c r="E496" t="str">
        <f t="shared" si="10"/>
        <v>Week1</v>
      </c>
      <c r="F496" t="s">
        <v>1035</v>
      </c>
      <c r="G496" t="s">
        <v>1197</v>
      </c>
      <c r="H496">
        <v>13000</v>
      </c>
      <c r="I496" t="s">
        <v>1027</v>
      </c>
      <c r="J496" t="s">
        <v>1030</v>
      </c>
      <c r="K496" t="s">
        <v>1031</v>
      </c>
    </row>
    <row r="497" spans="1:11" x14ac:dyDescent="0.25">
      <c r="A497" t="s">
        <v>496</v>
      </c>
      <c r="B497" s="1">
        <v>45810</v>
      </c>
      <c r="C497">
        <f t="shared" si="11"/>
        <v>2025</v>
      </c>
      <c r="D497" t="str">
        <f t="shared" si="9"/>
        <v>June</v>
      </c>
      <c r="E497" t="str">
        <f t="shared" si="10"/>
        <v>Week1</v>
      </c>
      <c r="F497" t="s">
        <v>1033</v>
      </c>
      <c r="G497" t="s">
        <v>1014</v>
      </c>
      <c r="H497">
        <v>129990</v>
      </c>
      <c r="I497" t="s">
        <v>1028</v>
      </c>
      <c r="J497" t="s">
        <v>1030</v>
      </c>
      <c r="K497" t="s">
        <v>1031</v>
      </c>
    </row>
    <row r="498" spans="1:11" x14ac:dyDescent="0.25">
      <c r="A498" t="s">
        <v>497</v>
      </c>
      <c r="B498" s="1">
        <v>45811</v>
      </c>
      <c r="C498">
        <f t="shared" si="11"/>
        <v>2025</v>
      </c>
      <c r="D498" t="str">
        <f t="shared" si="9"/>
        <v>June</v>
      </c>
      <c r="E498" t="str">
        <f t="shared" si="10"/>
        <v>Week1</v>
      </c>
      <c r="F498" t="s">
        <v>1018</v>
      </c>
      <c r="G498" t="s">
        <v>1013</v>
      </c>
      <c r="H498">
        <v>4000</v>
      </c>
      <c r="I498" t="s">
        <v>1027</v>
      </c>
      <c r="J498" t="s">
        <v>1030</v>
      </c>
      <c r="K498" t="s">
        <v>1031</v>
      </c>
    </row>
    <row r="499" spans="1:11" x14ac:dyDescent="0.25">
      <c r="A499" t="s">
        <v>498</v>
      </c>
      <c r="B499" s="1">
        <v>45812</v>
      </c>
      <c r="C499">
        <f t="shared" si="11"/>
        <v>2025</v>
      </c>
      <c r="D499" t="str">
        <f t="shared" si="9"/>
        <v>June</v>
      </c>
      <c r="E499" t="str">
        <f t="shared" si="10"/>
        <v>Week1</v>
      </c>
      <c r="F499" t="s">
        <v>1020</v>
      </c>
      <c r="G499" t="s">
        <v>1013</v>
      </c>
      <c r="H499">
        <v>10000</v>
      </c>
      <c r="I499" t="s">
        <v>1027</v>
      </c>
      <c r="J499" t="s">
        <v>1030</v>
      </c>
      <c r="K499" t="s">
        <v>1031</v>
      </c>
    </row>
    <row r="500" spans="1:11" x14ac:dyDescent="0.25">
      <c r="A500" t="s">
        <v>499</v>
      </c>
      <c r="B500" s="1">
        <v>45813</v>
      </c>
      <c r="C500">
        <f t="shared" si="11"/>
        <v>2025</v>
      </c>
      <c r="D500" t="str">
        <f t="shared" si="9"/>
        <v>June</v>
      </c>
      <c r="E500" t="str">
        <f t="shared" si="10"/>
        <v>Week1</v>
      </c>
      <c r="F500" t="s">
        <v>1154</v>
      </c>
      <c r="G500" t="s">
        <v>1198</v>
      </c>
      <c r="H500">
        <v>60000</v>
      </c>
      <c r="I500" t="s">
        <v>1027</v>
      </c>
      <c r="J500" t="s">
        <v>1030</v>
      </c>
      <c r="K500" t="s">
        <v>1031</v>
      </c>
    </row>
    <row r="501" spans="1:11" x14ac:dyDescent="0.25">
      <c r="A501" t="s">
        <v>500</v>
      </c>
      <c r="B501" s="1">
        <v>45813</v>
      </c>
      <c r="C501">
        <f t="shared" si="11"/>
        <v>2025</v>
      </c>
      <c r="D501" t="str">
        <f t="shared" si="9"/>
        <v>June</v>
      </c>
      <c r="E501" t="str">
        <f t="shared" si="10"/>
        <v>Week1</v>
      </c>
      <c r="F501" t="s">
        <v>1049</v>
      </c>
      <c r="G501" t="s">
        <v>1199</v>
      </c>
      <c r="H501">
        <v>24000</v>
      </c>
      <c r="I501" t="s">
        <v>1027</v>
      </c>
      <c r="J501" t="s">
        <v>1030</v>
      </c>
      <c r="K501" t="s">
        <v>1031</v>
      </c>
    </row>
    <row r="502" spans="1:11" x14ac:dyDescent="0.25">
      <c r="A502" t="s">
        <v>501</v>
      </c>
      <c r="B502" s="1">
        <v>45810</v>
      </c>
      <c r="C502">
        <f t="shared" si="11"/>
        <v>2025</v>
      </c>
      <c r="D502" t="str">
        <f t="shared" si="9"/>
        <v>June</v>
      </c>
      <c r="E502" t="str">
        <f t="shared" si="10"/>
        <v>Week1</v>
      </c>
      <c r="F502" t="s">
        <v>1037</v>
      </c>
      <c r="G502" t="s">
        <v>1199</v>
      </c>
      <c r="H502">
        <v>24000</v>
      </c>
      <c r="I502" t="s">
        <v>1027</v>
      </c>
      <c r="J502" t="s">
        <v>1030</v>
      </c>
      <c r="K502" t="s">
        <v>1031</v>
      </c>
    </row>
    <row r="503" spans="1:11" x14ac:dyDescent="0.25">
      <c r="A503" t="s">
        <v>502</v>
      </c>
      <c r="B503" s="1">
        <v>45812</v>
      </c>
      <c r="C503">
        <f t="shared" si="11"/>
        <v>2025</v>
      </c>
      <c r="D503" t="str">
        <f t="shared" si="9"/>
        <v>June</v>
      </c>
      <c r="E503" t="str">
        <f t="shared" si="10"/>
        <v>Week1</v>
      </c>
      <c r="F503" t="s">
        <v>1041</v>
      </c>
      <c r="G503" t="s">
        <v>1010</v>
      </c>
      <c r="H503">
        <v>2000</v>
      </c>
      <c r="I503" t="s">
        <v>1027</v>
      </c>
      <c r="J503" t="s">
        <v>1030</v>
      </c>
      <c r="K503" t="s">
        <v>1031</v>
      </c>
    </row>
    <row r="504" spans="1:11" x14ac:dyDescent="0.25">
      <c r="A504" t="s">
        <v>503</v>
      </c>
      <c r="B504" s="1">
        <v>45813</v>
      </c>
      <c r="C504">
        <f t="shared" si="11"/>
        <v>2025</v>
      </c>
      <c r="D504" t="str">
        <f t="shared" si="9"/>
        <v>June</v>
      </c>
      <c r="E504" t="str">
        <f t="shared" si="10"/>
        <v>Week1</v>
      </c>
      <c r="F504" t="s">
        <v>1155</v>
      </c>
      <c r="G504" t="s">
        <v>1012</v>
      </c>
      <c r="H504">
        <v>95000</v>
      </c>
      <c r="I504" t="s">
        <v>1028</v>
      </c>
      <c r="J504" t="s">
        <v>1030</v>
      </c>
      <c r="K504" t="s">
        <v>1031</v>
      </c>
    </row>
    <row r="505" spans="1:11" x14ac:dyDescent="0.25">
      <c r="A505" t="s">
        <v>504</v>
      </c>
      <c r="B505" s="1">
        <v>45814</v>
      </c>
      <c r="C505">
        <f t="shared" si="11"/>
        <v>2025</v>
      </c>
      <c r="D505" t="str">
        <f t="shared" si="9"/>
        <v>June</v>
      </c>
      <c r="E505" t="str">
        <f t="shared" si="10"/>
        <v>Week1</v>
      </c>
      <c r="F505" t="s">
        <v>1156</v>
      </c>
      <c r="G505" t="s">
        <v>1198</v>
      </c>
      <c r="H505">
        <v>15000</v>
      </c>
      <c r="I505" t="s">
        <v>1029</v>
      </c>
      <c r="J505" t="s">
        <v>1030</v>
      </c>
      <c r="K505" t="s">
        <v>1031</v>
      </c>
    </row>
    <row r="506" spans="1:11" x14ac:dyDescent="0.25">
      <c r="A506" t="s">
        <v>505</v>
      </c>
      <c r="B506" s="1">
        <v>45814</v>
      </c>
      <c r="C506">
        <f t="shared" si="11"/>
        <v>2025</v>
      </c>
      <c r="D506" t="str">
        <f t="shared" si="9"/>
        <v>June</v>
      </c>
      <c r="E506" t="str">
        <f t="shared" si="10"/>
        <v>Week1</v>
      </c>
      <c r="F506" t="s">
        <v>1157</v>
      </c>
      <c r="G506" t="s">
        <v>1010</v>
      </c>
      <c r="H506">
        <v>12000</v>
      </c>
      <c r="I506" t="s">
        <v>1029</v>
      </c>
      <c r="J506" t="s">
        <v>1030</v>
      </c>
      <c r="K506" t="s">
        <v>1031</v>
      </c>
    </row>
    <row r="507" spans="1:11" x14ac:dyDescent="0.25">
      <c r="A507" t="s">
        <v>506</v>
      </c>
      <c r="B507" s="1">
        <v>45817</v>
      </c>
      <c r="C507">
        <f t="shared" si="11"/>
        <v>2025</v>
      </c>
      <c r="D507" t="str">
        <f t="shared" si="9"/>
        <v>June</v>
      </c>
      <c r="E507" t="str">
        <f t="shared" si="10"/>
        <v>Week2</v>
      </c>
      <c r="F507" t="s">
        <v>1102</v>
      </c>
      <c r="G507" t="s">
        <v>1011</v>
      </c>
      <c r="H507">
        <v>20000</v>
      </c>
      <c r="I507" t="s">
        <v>1027</v>
      </c>
      <c r="J507" t="s">
        <v>1030</v>
      </c>
      <c r="K507" t="s">
        <v>1031</v>
      </c>
    </row>
    <row r="508" spans="1:11" x14ac:dyDescent="0.25">
      <c r="A508" t="s">
        <v>507</v>
      </c>
      <c r="B508" s="1">
        <v>45821</v>
      </c>
      <c r="C508">
        <f t="shared" si="11"/>
        <v>2025</v>
      </c>
      <c r="D508" t="str">
        <f t="shared" si="9"/>
        <v>June</v>
      </c>
      <c r="E508" t="str">
        <f t="shared" si="10"/>
        <v>Week2</v>
      </c>
      <c r="F508" t="s">
        <v>1158</v>
      </c>
      <c r="G508" t="s">
        <v>1198</v>
      </c>
      <c r="H508">
        <v>72000</v>
      </c>
      <c r="I508" t="s">
        <v>1027</v>
      </c>
      <c r="J508" t="s">
        <v>1030</v>
      </c>
      <c r="K508" t="s">
        <v>1031</v>
      </c>
    </row>
    <row r="509" spans="1:11" x14ac:dyDescent="0.25">
      <c r="A509" t="s">
        <v>508</v>
      </c>
      <c r="B509" s="1">
        <v>45818</v>
      </c>
      <c r="C509">
        <f t="shared" si="11"/>
        <v>2025</v>
      </c>
      <c r="D509" t="str">
        <f t="shared" si="9"/>
        <v>June</v>
      </c>
      <c r="E509" t="str">
        <f t="shared" si="10"/>
        <v>Week2</v>
      </c>
      <c r="F509" t="s">
        <v>1035</v>
      </c>
      <c r="G509" t="s">
        <v>1197</v>
      </c>
      <c r="H509">
        <v>13000</v>
      </c>
      <c r="I509" t="s">
        <v>1027</v>
      </c>
      <c r="J509" t="s">
        <v>1030</v>
      </c>
      <c r="K509" t="s">
        <v>1031</v>
      </c>
    </row>
    <row r="510" spans="1:11" x14ac:dyDescent="0.25">
      <c r="A510" t="s">
        <v>509</v>
      </c>
      <c r="B510" s="1">
        <v>45818</v>
      </c>
      <c r="C510">
        <f t="shared" si="11"/>
        <v>2025</v>
      </c>
      <c r="D510" t="str">
        <f t="shared" si="9"/>
        <v>June</v>
      </c>
      <c r="E510" t="str">
        <f t="shared" si="10"/>
        <v>Week2</v>
      </c>
      <c r="F510" t="s">
        <v>1120</v>
      </c>
      <c r="G510" t="s">
        <v>1014</v>
      </c>
      <c r="H510">
        <v>4500</v>
      </c>
      <c r="I510" t="s">
        <v>1029</v>
      </c>
      <c r="J510" t="s">
        <v>1030</v>
      </c>
      <c r="K510" t="s">
        <v>1031</v>
      </c>
    </row>
    <row r="511" spans="1:11" x14ac:dyDescent="0.25">
      <c r="A511" t="s">
        <v>510</v>
      </c>
      <c r="B511" s="1">
        <v>45819</v>
      </c>
      <c r="C511">
        <f t="shared" si="11"/>
        <v>2025</v>
      </c>
      <c r="D511" t="str">
        <f t="shared" si="9"/>
        <v>June</v>
      </c>
      <c r="E511" t="str">
        <f t="shared" si="10"/>
        <v>Week2</v>
      </c>
      <c r="F511" t="s">
        <v>1159</v>
      </c>
      <c r="G511" t="s">
        <v>1014</v>
      </c>
      <c r="H511">
        <v>11800</v>
      </c>
      <c r="I511" t="s">
        <v>1029</v>
      </c>
      <c r="J511" t="s">
        <v>1030</v>
      </c>
      <c r="K511" t="s">
        <v>1031</v>
      </c>
    </row>
    <row r="512" spans="1:11" x14ac:dyDescent="0.25">
      <c r="A512" t="s">
        <v>511</v>
      </c>
      <c r="B512" s="1">
        <v>45820</v>
      </c>
      <c r="C512">
        <f t="shared" si="11"/>
        <v>2025</v>
      </c>
      <c r="D512" t="str">
        <f t="shared" si="9"/>
        <v>June</v>
      </c>
      <c r="E512" t="str">
        <f t="shared" si="10"/>
        <v>Week2</v>
      </c>
      <c r="F512" t="s">
        <v>1035</v>
      </c>
      <c r="G512" t="s">
        <v>1197</v>
      </c>
      <c r="H512">
        <v>13000</v>
      </c>
      <c r="I512" t="s">
        <v>1027</v>
      </c>
      <c r="J512" t="s">
        <v>1030</v>
      </c>
      <c r="K512" t="s">
        <v>1031</v>
      </c>
    </row>
    <row r="513" spans="1:11" x14ac:dyDescent="0.25">
      <c r="A513" t="s">
        <v>512</v>
      </c>
      <c r="B513" s="1">
        <v>45823</v>
      </c>
      <c r="C513">
        <f t="shared" si="11"/>
        <v>2025</v>
      </c>
      <c r="D513" t="str">
        <f t="shared" si="9"/>
        <v>June</v>
      </c>
      <c r="E513" t="str">
        <f t="shared" si="10"/>
        <v>Week3</v>
      </c>
      <c r="F513" t="s">
        <v>1068</v>
      </c>
      <c r="G513" t="s">
        <v>1011</v>
      </c>
      <c r="H513">
        <v>20000</v>
      </c>
      <c r="I513" t="s">
        <v>1028</v>
      </c>
      <c r="J513" t="s">
        <v>1030</v>
      </c>
      <c r="K513" t="s">
        <v>1031</v>
      </c>
    </row>
    <row r="514" spans="1:11" x14ac:dyDescent="0.25">
      <c r="A514" t="s">
        <v>513</v>
      </c>
      <c r="B514" s="1">
        <v>45821</v>
      </c>
      <c r="C514">
        <f t="shared" si="11"/>
        <v>2025</v>
      </c>
      <c r="D514" t="str">
        <f t="shared" si="9"/>
        <v>June</v>
      </c>
      <c r="E514" t="str">
        <f t="shared" si="10"/>
        <v>Week2</v>
      </c>
      <c r="F514" t="s">
        <v>1018</v>
      </c>
      <c r="G514" t="s">
        <v>1013</v>
      </c>
      <c r="H514">
        <v>3000</v>
      </c>
      <c r="I514" t="s">
        <v>1027</v>
      </c>
      <c r="J514" t="s">
        <v>1030</v>
      </c>
      <c r="K514" t="s">
        <v>1031</v>
      </c>
    </row>
    <row r="515" spans="1:11" x14ac:dyDescent="0.25">
      <c r="A515" t="s">
        <v>514</v>
      </c>
      <c r="B515" s="1">
        <v>45821</v>
      </c>
      <c r="C515">
        <f t="shared" si="11"/>
        <v>2025</v>
      </c>
      <c r="D515" t="str">
        <f t="shared" si="9"/>
        <v>June</v>
      </c>
      <c r="E515" t="str">
        <f t="shared" si="10"/>
        <v>Week2</v>
      </c>
      <c r="F515" t="s">
        <v>1160</v>
      </c>
      <c r="G515" t="s">
        <v>1198</v>
      </c>
      <c r="H515">
        <v>31000</v>
      </c>
      <c r="I515" t="s">
        <v>1028</v>
      </c>
      <c r="J515" t="s">
        <v>1030</v>
      </c>
      <c r="K515" t="s">
        <v>1031</v>
      </c>
    </row>
    <row r="516" spans="1:11" x14ac:dyDescent="0.25">
      <c r="A516" t="s">
        <v>515</v>
      </c>
      <c r="B516" s="1">
        <v>45824</v>
      </c>
      <c r="C516">
        <f t="shared" si="11"/>
        <v>2025</v>
      </c>
      <c r="D516" t="str">
        <f t="shared" si="9"/>
        <v>June</v>
      </c>
      <c r="E516" t="str">
        <f t="shared" si="10"/>
        <v>Week3</v>
      </c>
      <c r="F516" t="s">
        <v>1035</v>
      </c>
      <c r="G516" t="s">
        <v>1197</v>
      </c>
      <c r="H516">
        <v>13000</v>
      </c>
      <c r="I516" t="s">
        <v>1027</v>
      </c>
      <c r="J516" t="s">
        <v>1030</v>
      </c>
      <c r="K516" t="s">
        <v>1031</v>
      </c>
    </row>
    <row r="517" spans="1:11" x14ac:dyDescent="0.25">
      <c r="A517" t="s">
        <v>516</v>
      </c>
      <c r="B517" s="1">
        <v>45826</v>
      </c>
      <c r="C517">
        <f t="shared" si="11"/>
        <v>2025</v>
      </c>
      <c r="D517" t="str">
        <f t="shared" si="9"/>
        <v>June</v>
      </c>
      <c r="E517" t="str">
        <f t="shared" si="10"/>
        <v>Week3</v>
      </c>
      <c r="F517" t="s">
        <v>1120</v>
      </c>
      <c r="G517" t="s">
        <v>1014</v>
      </c>
      <c r="H517">
        <v>4500</v>
      </c>
      <c r="I517" t="s">
        <v>1029</v>
      </c>
      <c r="J517" t="s">
        <v>1030</v>
      </c>
      <c r="K517" t="s">
        <v>1031</v>
      </c>
    </row>
    <row r="518" spans="1:11" x14ac:dyDescent="0.25">
      <c r="A518" t="s">
        <v>517</v>
      </c>
      <c r="B518" s="1">
        <v>45826</v>
      </c>
      <c r="C518">
        <f t="shared" si="11"/>
        <v>2025</v>
      </c>
      <c r="D518" t="str">
        <f t="shared" si="9"/>
        <v>June</v>
      </c>
      <c r="E518" t="str">
        <f t="shared" si="10"/>
        <v>Week3</v>
      </c>
      <c r="F518" t="s">
        <v>1161</v>
      </c>
      <c r="G518" t="s">
        <v>1014</v>
      </c>
      <c r="H518">
        <v>22000</v>
      </c>
      <c r="I518" t="s">
        <v>1027</v>
      </c>
      <c r="J518" t="s">
        <v>1030</v>
      </c>
      <c r="K518" t="s">
        <v>1031</v>
      </c>
    </row>
    <row r="519" spans="1:11" x14ac:dyDescent="0.25">
      <c r="A519" t="s">
        <v>518</v>
      </c>
      <c r="B519" s="1">
        <v>45826</v>
      </c>
      <c r="C519">
        <f t="shared" si="11"/>
        <v>2025</v>
      </c>
      <c r="D519" t="str">
        <f t="shared" si="9"/>
        <v>June</v>
      </c>
      <c r="E519" t="str">
        <f t="shared" si="10"/>
        <v>Week3</v>
      </c>
      <c r="F519" t="s">
        <v>1162</v>
      </c>
      <c r="G519" t="s">
        <v>1198</v>
      </c>
      <c r="H519">
        <v>20000</v>
      </c>
      <c r="I519" t="s">
        <v>1027</v>
      </c>
      <c r="J519" t="s">
        <v>1030</v>
      </c>
      <c r="K519" t="s">
        <v>1031</v>
      </c>
    </row>
    <row r="520" spans="1:11" x14ac:dyDescent="0.25">
      <c r="A520" t="s">
        <v>519</v>
      </c>
      <c r="B520" s="1">
        <v>45826</v>
      </c>
      <c r="C520">
        <f t="shared" si="11"/>
        <v>2025</v>
      </c>
      <c r="D520" t="str">
        <f t="shared" si="9"/>
        <v>June</v>
      </c>
      <c r="E520" t="str">
        <f t="shared" si="10"/>
        <v>Week3</v>
      </c>
      <c r="F520" t="s">
        <v>1102</v>
      </c>
      <c r="G520" t="s">
        <v>1011</v>
      </c>
      <c r="H520">
        <v>20000</v>
      </c>
      <c r="I520" t="s">
        <v>1027</v>
      </c>
      <c r="J520" t="s">
        <v>1030</v>
      </c>
      <c r="K520" t="s">
        <v>1031</v>
      </c>
    </row>
    <row r="521" spans="1:11" x14ac:dyDescent="0.25">
      <c r="A521" t="s">
        <v>520</v>
      </c>
      <c r="B521" s="1">
        <v>45827</v>
      </c>
      <c r="C521">
        <f t="shared" si="11"/>
        <v>2025</v>
      </c>
      <c r="D521" t="str">
        <f t="shared" si="9"/>
        <v>June</v>
      </c>
      <c r="E521" t="str">
        <f t="shared" si="10"/>
        <v>Week3</v>
      </c>
      <c r="F521" t="s">
        <v>1160</v>
      </c>
      <c r="G521" t="s">
        <v>1198</v>
      </c>
      <c r="H521">
        <v>31000</v>
      </c>
      <c r="I521" t="s">
        <v>1027</v>
      </c>
      <c r="J521" t="s">
        <v>1030</v>
      </c>
      <c r="K521" t="s">
        <v>1031</v>
      </c>
    </row>
    <row r="522" spans="1:11" x14ac:dyDescent="0.25">
      <c r="A522" t="s">
        <v>521</v>
      </c>
      <c r="B522" s="1">
        <v>45796</v>
      </c>
      <c r="C522">
        <f t="shared" si="11"/>
        <v>2025</v>
      </c>
      <c r="D522" t="str">
        <f t="shared" si="9"/>
        <v>May</v>
      </c>
      <c r="E522" t="str">
        <f t="shared" si="10"/>
        <v>Week3</v>
      </c>
      <c r="F522" t="s">
        <v>1163</v>
      </c>
      <c r="G522" t="s">
        <v>1198</v>
      </c>
      <c r="H522">
        <v>72000</v>
      </c>
      <c r="I522" t="s">
        <v>1027</v>
      </c>
      <c r="J522" t="s">
        <v>1030</v>
      </c>
      <c r="K522" t="s">
        <v>1031</v>
      </c>
    </row>
    <row r="523" spans="1:11" x14ac:dyDescent="0.25">
      <c r="A523" t="s">
        <v>522</v>
      </c>
      <c r="B523" s="1">
        <v>45828</v>
      </c>
      <c r="C523">
        <f t="shared" si="11"/>
        <v>2025</v>
      </c>
      <c r="D523" t="str">
        <f t="shared" si="9"/>
        <v>June</v>
      </c>
      <c r="E523" t="str">
        <f t="shared" si="10"/>
        <v>Week3</v>
      </c>
      <c r="F523" t="s">
        <v>1119</v>
      </c>
      <c r="G523" t="s">
        <v>1011</v>
      </c>
      <c r="H523">
        <v>15000</v>
      </c>
      <c r="I523" t="s">
        <v>1027</v>
      </c>
      <c r="J523" t="s">
        <v>1030</v>
      </c>
      <c r="K523" t="s">
        <v>1031</v>
      </c>
    </row>
    <row r="524" spans="1:11" x14ac:dyDescent="0.25">
      <c r="A524" t="s">
        <v>523</v>
      </c>
      <c r="B524" s="1">
        <v>45830</v>
      </c>
      <c r="C524">
        <f t="shared" si="11"/>
        <v>2025</v>
      </c>
      <c r="D524" t="str">
        <f t="shared" si="9"/>
        <v>June</v>
      </c>
      <c r="E524" t="str">
        <f t="shared" si="10"/>
        <v>Week4</v>
      </c>
      <c r="F524" t="s">
        <v>1068</v>
      </c>
      <c r="G524" t="s">
        <v>1011</v>
      </c>
      <c r="H524">
        <v>25000</v>
      </c>
      <c r="I524" t="s">
        <v>1027</v>
      </c>
      <c r="J524" t="s">
        <v>1030</v>
      </c>
      <c r="K524" t="s">
        <v>1031</v>
      </c>
    </row>
    <row r="525" spans="1:11" x14ac:dyDescent="0.25">
      <c r="A525" t="s">
        <v>524</v>
      </c>
      <c r="B525" s="1">
        <v>45831</v>
      </c>
      <c r="C525">
        <f t="shared" si="11"/>
        <v>2025</v>
      </c>
      <c r="D525" t="str">
        <f t="shared" si="9"/>
        <v>June</v>
      </c>
      <c r="E525" t="str">
        <f t="shared" si="10"/>
        <v>Week4</v>
      </c>
      <c r="F525" t="s">
        <v>1102</v>
      </c>
      <c r="G525" t="s">
        <v>1011</v>
      </c>
      <c r="H525">
        <v>24000</v>
      </c>
      <c r="I525" t="s">
        <v>1027</v>
      </c>
      <c r="J525" t="s">
        <v>1030</v>
      </c>
      <c r="K525" t="s">
        <v>1031</v>
      </c>
    </row>
    <row r="526" spans="1:11" x14ac:dyDescent="0.25">
      <c r="A526" t="s">
        <v>525</v>
      </c>
      <c r="B526" s="1">
        <v>45831</v>
      </c>
      <c r="C526">
        <f t="shared" si="11"/>
        <v>2025</v>
      </c>
      <c r="D526" t="str">
        <f t="shared" si="9"/>
        <v>June</v>
      </c>
      <c r="E526" t="str">
        <f t="shared" si="10"/>
        <v>Week4</v>
      </c>
      <c r="F526" t="s">
        <v>1035</v>
      </c>
      <c r="G526" t="s">
        <v>1197</v>
      </c>
      <c r="H526">
        <v>13000</v>
      </c>
      <c r="I526" t="s">
        <v>1027</v>
      </c>
      <c r="J526" t="s">
        <v>1030</v>
      </c>
      <c r="K526" t="s">
        <v>1031</v>
      </c>
    </row>
    <row r="527" spans="1:11" x14ac:dyDescent="0.25">
      <c r="A527" t="s">
        <v>526</v>
      </c>
      <c r="B527" s="1">
        <v>45831</v>
      </c>
      <c r="C527">
        <f t="shared" si="11"/>
        <v>2025</v>
      </c>
      <c r="D527" t="str">
        <f t="shared" si="9"/>
        <v>June</v>
      </c>
      <c r="E527" t="str">
        <f t="shared" si="10"/>
        <v>Week4</v>
      </c>
      <c r="F527" t="s">
        <v>1119</v>
      </c>
      <c r="G527" t="s">
        <v>1011</v>
      </c>
      <c r="H527">
        <v>25000</v>
      </c>
      <c r="I527" t="s">
        <v>1027</v>
      </c>
      <c r="J527" t="s">
        <v>1030</v>
      </c>
      <c r="K527" t="s">
        <v>1031</v>
      </c>
    </row>
    <row r="528" spans="1:11" x14ac:dyDescent="0.25">
      <c r="A528" t="s">
        <v>527</v>
      </c>
      <c r="B528" s="1">
        <v>45824</v>
      </c>
      <c r="C528">
        <f t="shared" si="11"/>
        <v>2025</v>
      </c>
      <c r="D528" t="str">
        <f t="shared" si="9"/>
        <v>June</v>
      </c>
      <c r="E528" t="str">
        <f t="shared" si="10"/>
        <v>Week3</v>
      </c>
      <c r="F528" t="s">
        <v>1164</v>
      </c>
      <c r="G528" t="s">
        <v>1015</v>
      </c>
      <c r="H528">
        <v>12000</v>
      </c>
      <c r="I528" t="s">
        <v>1029</v>
      </c>
      <c r="J528" t="s">
        <v>1030</v>
      </c>
      <c r="K528" t="s">
        <v>1031</v>
      </c>
    </row>
    <row r="529" spans="1:11" x14ac:dyDescent="0.25">
      <c r="A529" t="s">
        <v>528</v>
      </c>
      <c r="B529" s="1">
        <v>45833</v>
      </c>
      <c r="C529">
        <f t="shared" si="11"/>
        <v>2025</v>
      </c>
      <c r="D529" t="str">
        <f t="shared" si="9"/>
        <v>June</v>
      </c>
      <c r="E529" t="str">
        <f t="shared" si="10"/>
        <v>Week4</v>
      </c>
      <c r="F529" t="s">
        <v>1018</v>
      </c>
      <c r="G529" t="s">
        <v>1013</v>
      </c>
      <c r="H529">
        <v>3000</v>
      </c>
      <c r="I529" t="s">
        <v>1027</v>
      </c>
      <c r="J529" t="s">
        <v>1030</v>
      </c>
      <c r="K529" t="s">
        <v>1031</v>
      </c>
    </row>
    <row r="530" spans="1:11" x14ac:dyDescent="0.25">
      <c r="A530" t="s">
        <v>529</v>
      </c>
      <c r="B530" s="1">
        <v>45834</v>
      </c>
      <c r="C530">
        <f t="shared" si="11"/>
        <v>2025</v>
      </c>
      <c r="D530" t="str">
        <f t="shared" si="9"/>
        <v>June</v>
      </c>
      <c r="E530" t="str">
        <f t="shared" si="10"/>
        <v>Week4</v>
      </c>
      <c r="F530" t="s">
        <v>1119</v>
      </c>
      <c r="G530" t="s">
        <v>1011</v>
      </c>
      <c r="H530">
        <v>22000</v>
      </c>
      <c r="I530" t="s">
        <v>1027</v>
      </c>
      <c r="J530" t="s">
        <v>1030</v>
      </c>
      <c r="K530" t="s">
        <v>1031</v>
      </c>
    </row>
    <row r="531" spans="1:11" x14ac:dyDescent="0.25">
      <c r="A531" t="s">
        <v>530</v>
      </c>
      <c r="B531" s="1">
        <v>45834</v>
      </c>
      <c r="C531">
        <f t="shared" si="11"/>
        <v>2025</v>
      </c>
      <c r="D531" t="str">
        <f t="shared" si="9"/>
        <v>June</v>
      </c>
      <c r="E531" t="str">
        <f t="shared" si="10"/>
        <v>Week4</v>
      </c>
      <c r="F531" t="s">
        <v>1102</v>
      </c>
      <c r="G531" t="s">
        <v>1011</v>
      </c>
      <c r="H531">
        <v>20000</v>
      </c>
      <c r="I531" t="s">
        <v>1027</v>
      </c>
      <c r="J531" t="s">
        <v>1030</v>
      </c>
      <c r="K531" t="s">
        <v>1031</v>
      </c>
    </row>
    <row r="532" spans="1:11" x14ac:dyDescent="0.25">
      <c r="A532" t="s">
        <v>531</v>
      </c>
      <c r="B532" s="1">
        <v>45836</v>
      </c>
      <c r="C532">
        <f t="shared" si="11"/>
        <v>2025</v>
      </c>
      <c r="D532" t="str">
        <f t="shared" si="9"/>
        <v>June</v>
      </c>
      <c r="E532" t="str">
        <f t="shared" si="10"/>
        <v>Week4</v>
      </c>
      <c r="F532" t="s">
        <v>1102</v>
      </c>
      <c r="G532" t="s">
        <v>1011</v>
      </c>
      <c r="H532">
        <v>20000</v>
      </c>
      <c r="I532" t="s">
        <v>1028</v>
      </c>
      <c r="J532" t="s">
        <v>1030</v>
      </c>
      <c r="K532" t="s">
        <v>1031</v>
      </c>
    </row>
    <row r="533" spans="1:11" x14ac:dyDescent="0.25">
      <c r="A533" t="s">
        <v>532</v>
      </c>
      <c r="B533" s="1">
        <v>45837</v>
      </c>
      <c r="C533">
        <f t="shared" si="11"/>
        <v>2025</v>
      </c>
      <c r="D533" t="str">
        <f t="shared" si="9"/>
        <v>June</v>
      </c>
      <c r="E533" t="str">
        <f t="shared" si="10"/>
        <v>Week5</v>
      </c>
      <c r="F533" t="s">
        <v>1025</v>
      </c>
      <c r="G533" t="s">
        <v>1014</v>
      </c>
      <c r="H533">
        <v>5000</v>
      </c>
      <c r="I533" t="s">
        <v>1027</v>
      </c>
      <c r="J533" t="s">
        <v>1030</v>
      </c>
      <c r="K533" t="s">
        <v>1031</v>
      </c>
    </row>
    <row r="534" spans="1:11" x14ac:dyDescent="0.25">
      <c r="A534" t="s">
        <v>533</v>
      </c>
      <c r="B534" s="1">
        <v>45837</v>
      </c>
      <c r="C534">
        <f t="shared" si="11"/>
        <v>2025</v>
      </c>
      <c r="D534" t="str">
        <f t="shared" si="9"/>
        <v>June</v>
      </c>
      <c r="E534" t="str">
        <f t="shared" si="10"/>
        <v>Week5</v>
      </c>
      <c r="F534" t="s">
        <v>1040</v>
      </c>
      <c r="G534" t="s">
        <v>1199</v>
      </c>
      <c r="H534">
        <v>20000</v>
      </c>
      <c r="I534" t="s">
        <v>1027</v>
      </c>
      <c r="J534" t="s">
        <v>1030</v>
      </c>
      <c r="K534" t="s">
        <v>1031</v>
      </c>
    </row>
    <row r="535" spans="1:11" x14ac:dyDescent="0.25">
      <c r="A535" t="s">
        <v>534</v>
      </c>
      <c r="B535" s="1">
        <v>45838</v>
      </c>
      <c r="C535">
        <f t="shared" si="11"/>
        <v>2025</v>
      </c>
      <c r="D535" t="str">
        <f t="shared" si="9"/>
        <v>June</v>
      </c>
      <c r="E535" t="str">
        <f t="shared" si="10"/>
        <v>Week5</v>
      </c>
      <c r="F535" t="s">
        <v>1023</v>
      </c>
      <c r="G535" t="s">
        <v>1201</v>
      </c>
      <c r="H535">
        <v>10000</v>
      </c>
      <c r="I535" t="s">
        <v>1029</v>
      </c>
      <c r="J535" t="s">
        <v>1030</v>
      </c>
      <c r="K535" t="s">
        <v>1031</v>
      </c>
    </row>
    <row r="536" spans="1:11" x14ac:dyDescent="0.25">
      <c r="A536" t="s">
        <v>535</v>
      </c>
      <c r="B536" s="1">
        <v>45838</v>
      </c>
      <c r="C536">
        <f t="shared" si="11"/>
        <v>2025</v>
      </c>
      <c r="D536" t="str">
        <f t="shared" si="9"/>
        <v>June</v>
      </c>
      <c r="E536" t="str">
        <f t="shared" si="10"/>
        <v>Week5</v>
      </c>
      <c r="F536" t="s">
        <v>1035</v>
      </c>
      <c r="G536" t="s">
        <v>1197</v>
      </c>
      <c r="H536">
        <v>13000</v>
      </c>
      <c r="I536" t="s">
        <v>1027</v>
      </c>
      <c r="J536" t="s">
        <v>1030</v>
      </c>
      <c r="K536" t="s">
        <v>1031</v>
      </c>
    </row>
    <row r="537" spans="1:11" x14ac:dyDescent="0.25">
      <c r="A537" t="s">
        <v>536</v>
      </c>
      <c r="B537" s="1">
        <v>45838</v>
      </c>
      <c r="C537">
        <f t="shared" si="11"/>
        <v>2025</v>
      </c>
      <c r="D537" t="str">
        <f t="shared" si="9"/>
        <v>June</v>
      </c>
      <c r="E537" t="str">
        <f t="shared" si="10"/>
        <v>Week5</v>
      </c>
      <c r="F537" t="s">
        <v>1119</v>
      </c>
      <c r="G537" t="s">
        <v>1011</v>
      </c>
      <c r="H537">
        <v>15000</v>
      </c>
      <c r="I537" t="s">
        <v>1027</v>
      </c>
      <c r="J537" t="s">
        <v>1030</v>
      </c>
      <c r="K537" t="s">
        <v>1031</v>
      </c>
    </row>
    <row r="538" spans="1:11" x14ac:dyDescent="0.25">
      <c r="A538" t="s">
        <v>537</v>
      </c>
      <c r="B538" s="1">
        <v>45838</v>
      </c>
      <c r="C538">
        <f t="shared" si="11"/>
        <v>2025</v>
      </c>
      <c r="D538" t="str">
        <f t="shared" si="9"/>
        <v>June</v>
      </c>
      <c r="E538" t="str">
        <f t="shared" si="10"/>
        <v>Week5</v>
      </c>
      <c r="F538" t="s">
        <v>1120</v>
      </c>
      <c r="G538" t="s">
        <v>1014</v>
      </c>
      <c r="H538">
        <v>4500</v>
      </c>
      <c r="I538" t="s">
        <v>1027</v>
      </c>
      <c r="J538" t="s">
        <v>1030</v>
      </c>
      <c r="K538" t="s">
        <v>1031</v>
      </c>
    </row>
    <row r="539" spans="1:11" x14ac:dyDescent="0.25">
      <c r="A539" t="s">
        <v>538</v>
      </c>
      <c r="B539" s="1">
        <v>45839</v>
      </c>
      <c r="C539">
        <f t="shared" si="11"/>
        <v>2025</v>
      </c>
      <c r="D539" t="str">
        <f t="shared" si="9"/>
        <v>July</v>
      </c>
      <c r="E539" t="str">
        <f t="shared" si="10"/>
        <v>Week1</v>
      </c>
      <c r="F539" t="s">
        <v>1049</v>
      </c>
      <c r="G539" t="s">
        <v>1199</v>
      </c>
      <c r="H539">
        <v>24000</v>
      </c>
      <c r="I539" t="s">
        <v>1027</v>
      </c>
      <c r="J539" t="s">
        <v>1030</v>
      </c>
      <c r="K539" t="s">
        <v>1031</v>
      </c>
    </row>
    <row r="540" spans="1:11" x14ac:dyDescent="0.25">
      <c r="A540" t="s">
        <v>539</v>
      </c>
      <c r="B540" s="1">
        <v>45839</v>
      </c>
      <c r="C540">
        <f t="shared" si="11"/>
        <v>2025</v>
      </c>
      <c r="D540" t="str">
        <f t="shared" si="9"/>
        <v>July</v>
      </c>
      <c r="E540" t="str">
        <f t="shared" si="10"/>
        <v>Week1</v>
      </c>
      <c r="F540" t="s">
        <v>1165</v>
      </c>
      <c r="G540" t="s">
        <v>1198</v>
      </c>
      <c r="H540">
        <v>9000</v>
      </c>
      <c r="I540" t="s">
        <v>1029</v>
      </c>
      <c r="J540" t="s">
        <v>1030</v>
      </c>
      <c r="K540" t="s">
        <v>1031</v>
      </c>
    </row>
    <row r="541" spans="1:11" x14ac:dyDescent="0.25">
      <c r="A541" t="s">
        <v>540</v>
      </c>
      <c r="B541" s="1">
        <v>45840</v>
      </c>
      <c r="C541">
        <f t="shared" si="11"/>
        <v>2025</v>
      </c>
      <c r="D541" t="str">
        <f t="shared" si="9"/>
        <v>July</v>
      </c>
      <c r="E541" t="str">
        <f t="shared" si="10"/>
        <v>Week1</v>
      </c>
      <c r="F541" t="s">
        <v>1033</v>
      </c>
      <c r="G541" t="s">
        <v>1014</v>
      </c>
      <c r="H541">
        <v>124470</v>
      </c>
      <c r="I541" t="s">
        <v>1027</v>
      </c>
      <c r="J541" t="s">
        <v>1030</v>
      </c>
      <c r="K541" t="s">
        <v>1031</v>
      </c>
    </row>
    <row r="542" spans="1:11" x14ac:dyDescent="0.25">
      <c r="A542" t="s">
        <v>541</v>
      </c>
      <c r="B542" s="1">
        <v>45840</v>
      </c>
      <c r="C542">
        <f t="shared" si="11"/>
        <v>2025</v>
      </c>
      <c r="D542" t="str">
        <f t="shared" si="9"/>
        <v>July</v>
      </c>
      <c r="E542" t="str">
        <f t="shared" si="10"/>
        <v>Week1</v>
      </c>
      <c r="F542" t="s">
        <v>1166</v>
      </c>
      <c r="G542" t="s">
        <v>1010</v>
      </c>
      <c r="H542">
        <v>15000</v>
      </c>
      <c r="I542" t="s">
        <v>1027</v>
      </c>
      <c r="J542" t="s">
        <v>1030</v>
      </c>
      <c r="K542" t="s">
        <v>1031</v>
      </c>
    </row>
    <row r="543" spans="1:11" x14ac:dyDescent="0.25">
      <c r="A543" t="s">
        <v>542</v>
      </c>
      <c r="B543" s="1">
        <v>45842</v>
      </c>
      <c r="C543">
        <f t="shared" si="11"/>
        <v>2025</v>
      </c>
      <c r="D543" t="str">
        <f t="shared" si="9"/>
        <v>July</v>
      </c>
      <c r="E543" t="str">
        <f t="shared" si="10"/>
        <v>Week1</v>
      </c>
      <c r="F543" t="s">
        <v>1037</v>
      </c>
      <c r="G543" t="s">
        <v>1199</v>
      </c>
      <c r="H543">
        <v>24000</v>
      </c>
      <c r="I543" t="s">
        <v>1027</v>
      </c>
      <c r="J543" t="s">
        <v>1030</v>
      </c>
      <c r="K543" t="s">
        <v>1031</v>
      </c>
    </row>
    <row r="544" spans="1:11" x14ac:dyDescent="0.25">
      <c r="A544" t="s">
        <v>543</v>
      </c>
      <c r="B544" s="1">
        <v>45845</v>
      </c>
      <c r="C544">
        <f t="shared" si="11"/>
        <v>2025</v>
      </c>
      <c r="D544" t="str">
        <f t="shared" si="9"/>
        <v>July</v>
      </c>
      <c r="E544" t="str">
        <f t="shared" si="10"/>
        <v>Week1</v>
      </c>
      <c r="F544" t="s">
        <v>1035</v>
      </c>
      <c r="G544" t="s">
        <v>1197</v>
      </c>
      <c r="H544">
        <v>13000</v>
      </c>
      <c r="I544" t="s">
        <v>1027</v>
      </c>
      <c r="J544" t="s">
        <v>1030</v>
      </c>
      <c r="K544" t="s">
        <v>1031</v>
      </c>
    </row>
    <row r="545" spans="1:11" x14ac:dyDescent="0.25">
      <c r="A545" t="s">
        <v>544</v>
      </c>
      <c r="B545" s="1">
        <v>45852</v>
      </c>
      <c r="C545">
        <f t="shared" si="11"/>
        <v>2025</v>
      </c>
      <c r="D545" t="str">
        <f t="shared" si="9"/>
        <v>July</v>
      </c>
      <c r="E545" t="str">
        <f t="shared" si="10"/>
        <v>Week2</v>
      </c>
      <c r="F545" t="s">
        <v>1018</v>
      </c>
      <c r="G545" t="s">
        <v>1013</v>
      </c>
      <c r="H545">
        <v>3000</v>
      </c>
      <c r="I545" t="s">
        <v>1029</v>
      </c>
      <c r="J545" t="s">
        <v>1030</v>
      </c>
      <c r="K545" t="s">
        <v>1031</v>
      </c>
    </row>
    <row r="546" spans="1:11" x14ac:dyDescent="0.25">
      <c r="A546" t="s">
        <v>545</v>
      </c>
      <c r="B546" s="1">
        <v>45854</v>
      </c>
      <c r="C546">
        <f t="shared" si="11"/>
        <v>2025</v>
      </c>
      <c r="D546" t="str">
        <f t="shared" si="9"/>
        <v>July</v>
      </c>
      <c r="E546" t="str">
        <f t="shared" si="10"/>
        <v>Week3</v>
      </c>
      <c r="F546" t="s">
        <v>1124</v>
      </c>
      <c r="G546" t="s">
        <v>1010</v>
      </c>
      <c r="H546">
        <v>10000</v>
      </c>
      <c r="I546" t="s">
        <v>1027</v>
      </c>
      <c r="J546" t="s">
        <v>1030</v>
      </c>
      <c r="K546" t="s">
        <v>1031</v>
      </c>
    </row>
    <row r="547" spans="1:11" x14ac:dyDescent="0.25">
      <c r="A547" t="s">
        <v>546</v>
      </c>
      <c r="B547" s="1">
        <v>45856</v>
      </c>
      <c r="C547">
        <f t="shared" si="11"/>
        <v>2025</v>
      </c>
      <c r="D547" t="str">
        <f t="shared" si="9"/>
        <v>July</v>
      </c>
      <c r="E547" t="str">
        <f t="shared" si="10"/>
        <v>Week3</v>
      </c>
      <c r="F547" t="s">
        <v>1041</v>
      </c>
      <c r="G547" t="s">
        <v>1010</v>
      </c>
      <c r="H547">
        <v>3000</v>
      </c>
      <c r="I547" t="s">
        <v>1029</v>
      </c>
      <c r="J547" t="s">
        <v>1030</v>
      </c>
      <c r="K547" t="s">
        <v>1031</v>
      </c>
    </row>
    <row r="548" spans="1:11" x14ac:dyDescent="0.25">
      <c r="A548" t="s">
        <v>547</v>
      </c>
      <c r="B548" s="1">
        <v>45859</v>
      </c>
      <c r="C548">
        <f t="shared" si="11"/>
        <v>2025</v>
      </c>
      <c r="D548" t="str">
        <f t="shared" si="9"/>
        <v>July</v>
      </c>
      <c r="E548" t="str">
        <f t="shared" si="10"/>
        <v>Week3</v>
      </c>
      <c r="F548" t="s">
        <v>1167</v>
      </c>
      <c r="G548" t="s">
        <v>1198</v>
      </c>
      <c r="H548">
        <v>5000</v>
      </c>
      <c r="I548" t="s">
        <v>1029</v>
      </c>
      <c r="J548" t="s">
        <v>1030</v>
      </c>
      <c r="K548" t="s">
        <v>1031</v>
      </c>
    </row>
    <row r="549" spans="1:11" x14ac:dyDescent="0.25">
      <c r="A549" t="s">
        <v>548</v>
      </c>
      <c r="B549" s="1">
        <v>45860</v>
      </c>
      <c r="C549">
        <f t="shared" si="11"/>
        <v>2025</v>
      </c>
      <c r="D549" t="str">
        <f t="shared" si="9"/>
        <v>July</v>
      </c>
      <c r="E549" t="str">
        <f t="shared" si="10"/>
        <v>Week4</v>
      </c>
      <c r="F549" t="s">
        <v>1168</v>
      </c>
      <c r="G549" t="s">
        <v>1012</v>
      </c>
      <c r="H549">
        <v>22000</v>
      </c>
      <c r="I549" t="s">
        <v>1027</v>
      </c>
      <c r="J549" t="s">
        <v>1030</v>
      </c>
      <c r="K549" t="s">
        <v>1031</v>
      </c>
    </row>
    <row r="550" spans="1:11" x14ac:dyDescent="0.25">
      <c r="A550" t="s">
        <v>549</v>
      </c>
      <c r="B550" s="1">
        <v>45860</v>
      </c>
      <c r="C550">
        <f t="shared" si="11"/>
        <v>2025</v>
      </c>
      <c r="D550" t="str">
        <f t="shared" si="9"/>
        <v>July</v>
      </c>
      <c r="E550" t="str">
        <f t="shared" si="10"/>
        <v>Week4</v>
      </c>
      <c r="F550" t="s">
        <v>1132</v>
      </c>
      <c r="G550" t="s">
        <v>1012</v>
      </c>
      <c r="H550">
        <v>10000</v>
      </c>
      <c r="I550" t="s">
        <v>1027</v>
      </c>
      <c r="J550" t="s">
        <v>1030</v>
      </c>
      <c r="K550" t="s">
        <v>1031</v>
      </c>
    </row>
    <row r="551" spans="1:11" x14ac:dyDescent="0.25">
      <c r="A551" t="s">
        <v>550</v>
      </c>
      <c r="B551" s="1">
        <v>45861</v>
      </c>
      <c r="C551">
        <f t="shared" si="11"/>
        <v>2025</v>
      </c>
      <c r="D551" t="str">
        <f t="shared" si="9"/>
        <v>July</v>
      </c>
      <c r="E551" t="str">
        <f t="shared" si="10"/>
        <v>Week4</v>
      </c>
      <c r="F551" t="s">
        <v>1169</v>
      </c>
      <c r="G551" t="s">
        <v>1012</v>
      </c>
      <c r="H551">
        <v>50500</v>
      </c>
      <c r="I551" t="s">
        <v>1027</v>
      </c>
      <c r="J551" t="s">
        <v>1030</v>
      </c>
      <c r="K551" t="s">
        <v>1031</v>
      </c>
    </row>
    <row r="552" spans="1:11" x14ac:dyDescent="0.25">
      <c r="A552" t="s">
        <v>551</v>
      </c>
      <c r="B552" s="1">
        <v>45861</v>
      </c>
      <c r="C552">
        <f t="shared" si="11"/>
        <v>2025</v>
      </c>
      <c r="D552" t="str">
        <f t="shared" si="9"/>
        <v>July</v>
      </c>
      <c r="E552" t="str">
        <f t="shared" si="10"/>
        <v>Week4</v>
      </c>
      <c r="F552" t="s">
        <v>1018</v>
      </c>
      <c r="G552" t="s">
        <v>1013</v>
      </c>
      <c r="H552">
        <v>5000</v>
      </c>
      <c r="I552" t="s">
        <v>1027</v>
      </c>
      <c r="J552" t="s">
        <v>1030</v>
      </c>
      <c r="K552" t="s">
        <v>1031</v>
      </c>
    </row>
    <row r="553" spans="1:11" x14ac:dyDescent="0.25">
      <c r="A553" t="s">
        <v>552</v>
      </c>
      <c r="B553" s="1">
        <v>45862</v>
      </c>
      <c r="C553">
        <f t="shared" si="11"/>
        <v>2025</v>
      </c>
      <c r="D553" t="str">
        <f t="shared" si="9"/>
        <v>July</v>
      </c>
      <c r="E553" t="str">
        <f t="shared" si="10"/>
        <v>Week4</v>
      </c>
      <c r="F553" t="s">
        <v>1035</v>
      </c>
      <c r="G553" t="s">
        <v>1197</v>
      </c>
      <c r="H553">
        <v>57600</v>
      </c>
      <c r="I553" t="s">
        <v>1027</v>
      </c>
      <c r="J553" t="s">
        <v>1030</v>
      </c>
      <c r="K553" t="s">
        <v>1031</v>
      </c>
    </row>
    <row r="554" spans="1:11" x14ac:dyDescent="0.25">
      <c r="A554" t="s">
        <v>553</v>
      </c>
      <c r="B554" s="1">
        <v>45853</v>
      </c>
      <c r="C554">
        <f t="shared" si="11"/>
        <v>2025</v>
      </c>
      <c r="D554" t="str">
        <f t="shared" si="9"/>
        <v>July</v>
      </c>
      <c r="E554" t="str">
        <f t="shared" si="10"/>
        <v>Week3</v>
      </c>
      <c r="F554" t="s">
        <v>1025</v>
      </c>
      <c r="G554" t="s">
        <v>1014</v>
      </c>
      <c r="H554">
        <v>10000</v>
      </c>
      <c r="I554" t="s">
        <v>1027</v>
      </c>
      <c r="J554" t="s">
        <v>1030</v>
      </c>
      <c r="K554" t="s">
        <v>1031</v>
      </c>
    </row>
    <row r="555" spans="1:11" x14ac:dyDescent="0.25">
      <c r="A555" t="s">
        <v>554</v>
      </c>
      <c r="B555" s="1">
        <v>45845</v>
      </c>
      <c r="C555">
        <f t="shared" si="11"/>
        <v>2025</v>
      </c>
      <c r="D555" t="str">
        <f t="shared" si="9"/>
        <v>July</v>
      </c>
      <c r="E555" t="str">
        <f t="shared" si="10"/>
        <v>Week1</v>
      </c>
      <c r="F555" t="s">
        <v>1170</v>
      </c>
      <c r="G555" t="s">
        <v>1198</v>
      </c>
      <c r="H555">
        <v>60000</v>
      </c>
      <c r="I555" t="s">
        <v>1027</v>
      </c>
      <c r="J555" t="s">
        <v>1030</v>
      </c>
      <c r="K555" t="s">
        <v>1031</v>
      </c>
    </row>
    <row r="556" spans="1:11" x14ac:dyDescent="0.25">
      <c r="A556" t="s">
        <v>555</v>
      </c>
      <c r="B556" s="1">
        <v>45842</v>
      </c>
      <c r="C556">
        <f t="shared" si="11"/>
        <v>2025</v>
      </c>
      <c r="D556" t="str">
        <f t="shared" si="9"/>
        <v>July</v>
      </c>
      <c r="E556" t="str">
        <f t="shared" si="10"/>
        <v>Week1</v>
      </c>
      <c r="F556" t="s">
        <v>1171</v>
      </c>
      <c r="G556" t="s">
        <v>1198</v>
      </c>
      <c r="H556">
        <v>20000</v>
      </c>
      <c r="I556" t="s">
        <v>1027</v>
      </c>
      <c r="J556" t="s">
        <v>1030</v>
      </c>
      <c r="K556" t="s">
        <v>1031</v>
      </c>
    </row>
    <row r="557" spans="1:11" x14ac:dyDescent="0.25">
      <c r="A557" t="s">
        <v>556</v>
      </c>
      <c r="B557" s="1">
        <v>45846</v>
      </c>
      <c r="C557">
        <f t="shared" si="11"/>
        <v>2025</v>
      </c>
      <c r="D557" t="str">
        <f t="shared" si="9"/>
        <v>July</v>
      </c>
      <c r="E557" t="str">
        <f t="shared" si="10"/>
        <v>Week2</v>
      </c>
      <c r="F557" t="s">
        <v>1172</v>
      </c>
      <c r="G557" t="s">
        <v>1010</v>
      </c>
      <c r="H557">
        <v>250000</v>
      </c>
      <c r="I557" t="s">
        <v>1027</v>
      </c>
      <c r="J557" t="s">
        <v>1030</v>
      </c>
      <c r="K557" t="s">
        <v>1031</v>
      </c>
    </row>
    <row r="558" spans="1:11" x14ac:dyDescent="0.25">
      <c r="A558" t="s">
        <v>557</v>
      </c>
      <c r="B558" s="1">
        <v>45848</v>
      </c>
      <c r="C558">
        <f t="shared" si="11"/>
        <v>2025</v>
      </c>
      <c r="D558" t="str">
        <f t="shared" si="9"/>
        <v>July</v>
      </c>
      <c r="E558" t="str">
        <f t="shared" si="10"/>
        <v>Week2</v>
      </c>
      <c r="F558" t="s">
        <v>1018</v>
      </c>
      <c r="G558" t="s">
        <v>1013</v>
      </c>
      <c r="H558">
        <v>5000</v>
      </c>
      <c r="I558" t="s">
        <v>1027</v>
      </c>
      <c r="J558" t="s">
        <v>1030</v>
      </c>
      <c r="K558" t="s">
        <v>1031</v>
      </c>
    </row>
    <row r="559" spans="1:11" x14ac:dyDescent="0.25">
      <c r="A559" t="s">
        <v>558</v>
      </c>
      <c r="B559" s="1">
        <v>45848</v>
      </c>
      <c r="C559">
        <f t="shared" si="11"/>
        <v>2025</v>
      </c>
      <c r="D559" t="str">
        <f t="shared" si="9"/>
        <v>July</v>
      </c>
      <c r="E559" t="str">
        <f t="shared" si="10"/>
        <v>Week2</v>
      </c>
      <c r="F559" t="s">
        <v>1173</v>
      </c>
      <c r="G559" t="s">
        <v>1012</v>
      </c>
      <c r="H559">
        <v>10000</v>
      </c>
      <c r="I559" t="s">
        <v>1029</v>
      </c>
      <c r="J559" t="s">
        <v>1030</v>
      </c>
      <c r="K559" t="s">
        <v>1031</v>
      </c>
    </row>
    <row r="560" spans="1:11" x14ac:dyDescent="0.25">
      <c r="A560" t="s">
        <v>559</v>
      </c>
      <c r="B560" s="1">
        <v>45852</v>
      </c>
      <c r="C560">
        <f t="shared" si="11"/>
        <v>2025</v>
      </c>
      <c r="D560" t="str">
        <f t="shared" si="9"/>
        <v>July</v>
      </c>
      <c r="E560" t="str">
        <f t="shared" si="10"/>
        <v>Week2</v>
      </c>
      <c r="F560" t="s">
        <v>1035</v>
      </c>
      <c r="G560" t="s">
        <v>1197</v>
      </c>
      <c r="H560">
        <v>13000</v>
      </c>
      <c r="I560" t="s">
        <v>1027</v>
      </c>
      <c r="J560" t="s">
        <v>1030</v>
      </c>
      <c r="K560" t="s">
        <v>1031</v>
      </c>
    </row>
    <row r="561" spans="1:11" x14ac:dyDescent="0.25">
      <c r="A561" t="s">
        <v>560</v>
      </c>
      <c r="B561" s="1">
        <v>45852</v>
      </c>
      <c r="C561">
        <f t="shared" si="11"/>
        <v>2025</v>
      </c>
      <c r="D561" t="str">
        <f t="shared" si="9"/>
        <v>July</v>
      </c>
      <c r="E561" t="str">
        <f t="shared" si="10"/>
        <v>Week2</v>
      </c>
      <c r="F561" t="s">
        <v>1174</v>
      </c>
      <c r="G561" t="s">
        <v>1014</v>
      </c>
      <c r="H561">
        <v>10000</v>
      </c>
      <c r="I561" t="s">
        <v>1028</v>
      </c>
      <c r="J561" t="s">
        <v>1030</v>
      </c>
      <c r="K561" t="s">
        <v>1031</v>
      </c>
    </row>
    <row r="562" spans="1:11" x14ac:dyDescent="0.25">
      <c r="A562" t="s">
        <v>561</v>
      </c>
      <c r="B562" s="1">
        <v>45866</v>
      </c>
      <c r="C562">
        <f t="shared" si="11"/>
        <v>2025</v>
      </c>
      <c r="D562" t="str">
        <f t="shared" si="9"/>
        <v>July</v>
      </c>
      <c r="E562" t="str">
        <f t="shared" si="10"/>
        <v>Week4</v>
      </c>
      <c r="F562" t="s">
        <v>1025</v>
      </c>
      <c r="G562" t="s">
        <v>1014</v>
      </c>
      <c r="H562">
        <v>5000</v>
      </c>
      <c r="I562" t="s">
        <v>1029</v>
      </c>
      <c r="J562" t="s">
        <v>1030</v>
      </c>
      <c r="K562" t="s">
        <v>1031</v>
      </c>
    </row>
    <row r="563" spans="1:11" x14ac:dyDescent="0.25">
      <c r="A563" t="s">
        <v>562</v>
      </c>
      <c r="B563" s="1">
        <v>45866</v>
      </c>
      <c r="C563">
        <f t="shared" si="11"/>
        <v>2025</v>
      </c>
      <c r="D563" t="str">
        <f t="shared" si="9"/>
        <v>July</v>
      </c>
      <c r="E563" t="str">
        <f t="shared" si="10"/>
        <v>Week4</v>
      </c>
      <c r="F563" t="s">
        <v>1018</v>
      </c>
      <c r="G563" t="s">
        <v>1013</v>
      </c>
      <c r="H563">
        <v>3000</v>
      </c>
      <c r="I563" t="s">
        <v>1027</v>
      </c>
      <c r="J563" t="s">
        <v>1030</v>
      </c>
      <c r="K563" t="s">
        <v>1031</v>
      </c>
    </row>
    <row r="564" spans="1:11" x14ac:dyDescent="0.25">
      <c r="A564" t="s">
        <v>563</v>
      </c>
      <c r="B564" s="1">
        <v>45867</v>
      </c>
      <c r="C564">
        <f t="shared" si="11"/>
        <v>2025</v>
      </c>
      <c r="D564" t="str">
        <f t="shared" si="9"/>
        <v>July</v>
      </c>
      <c r="E564" t="str">
        <f t="shared" si="10"/>
        <v>Week5</v>
      </c>
      <c r="F564" t="s">
        <v>1049</v>
      </c>
      <c r="G564" t="s">
        <v>1199</v>
      </c>
      <c r="H564">
        <v>20000</v>
      </c>
      <c r="I564" t="s">
        <v>1027</v>
      </c>
      <c r="J564" t="s">
        <v>1030</v>
      </c>
      <c r="K564" t="s">
        <v>1031</v>
      </c>
    </row>
    <row r="565" spans="1:11" x14ac:dyDescent="0.25">
      <c r="A565" t="s">
        <v>564</v>
      </c>
      <c r="B565" s="1">
        <v>45868</v>
      </c>
      <c r="C565">
        <f t="shared" si="11"/>
        <v>2025</v>
      </c>
      <c r="D565" t="str">
        <f t="shared" si="9"/>
        <v>July</v>
      </c>
      <c r="E565" t="str">
        <f t="shared" si="10"/>
        <v>Week5</v>
      </c>
      <c r="F565" t="s">
        <v>1175</v>
      </c>
      <c r="G565" t="s">
        <v>1198</v>
      </c>
      <c r="H565">
        <v>175000</v>
      </c>
      <c r="I565" t="s">
        <v>1027</v>
      </c>
      <c r="J565" t="s">
        <v>1030</v>
      </c>
      <c r="K565" t="s">
        <v>1031</v>
      </c>
    </row>
    <row r="566" spans="1:11" x14ac:dyDescent="0.25">
      <c r="A566" t="s">
        <v>565</v>
      </c>
      <c r="B566" s="1">
        <v>45869</v>
      </c>
      <c r="C566">
        <f t="shared" si="11"/>
        <v>2025</v>
      </c>
      <c r="D566" t="str">
        <f t="shared" si="9"/>
        <v>July</v>
      </c>
      <c r="E566" t="str">
        <f t="shared" si="10"/>
        <v>Week5</v>
      </c>
      <c r="F566" t="s">
        <v>1018</v>
      </c>
      <c r="G566" t="s">
        <v>1013</v>
      </c>
      <c r="H566">
        <v>5000</v>
      </c>
      <c r="I566" t="s">
        <v>1027</v>
      </c>
      <c r="J566" t="s">
        <v>1030</v>
      </c>
      <c r="K566" t="s">
        <v>1031</v>
      </c>
    </row>
    <row r="567" spans="1:11" x14ac:dyDescent="0.25">
      <c r="A567" t="s">
        <v>566</v>
      </c>
      <c r="B567" s="1">
        <v>45869</v>
      </c>
      <c r="C567">
        <f t="shared" si="11"/>
        <v>2025</v>
      </c>
      <c r="D567" t="str">
        <f t="shared" si="9"/>
        <v>July</v>
      </c>
      <c r="E567" t="str">
        <f t="shared" si="10"/>
        <v>Week5</v>
      </c>
      <c r="F567" t="s">
        <v>1046</v>
      </c>
      <c r="G567" t="s">
        <v>1014</v>
      </c>
      <c r="H567">
        <v>6000</v>
      </c>
      <c r="I567" t="s">
        <v>1027</v>
      </c>
      <c r="J567" t="s">
        <v>1030</v>
      </c>
      <c r="K567" t="s">
        <v>1031</v>
      </c>
    </row>
    <row r="568" spans="1:11" x14ac:dyDescent="0.25">
      <c r="A568" t="s">
        <v>567</v>
      </c>
      <c r="B568" s="1">
        <v>45842</v>
      </c>
      <c r="C568">
        <f t="shared" si="11"/>
        <v>2025</v>
      </c>
      <c r="D568" t="str">
        <f t="shared" si="9"/>
        <v>July</v>
      </c>
      <c r="E568" t="str">
        <f t="shared" si="10"/>
        <v>Week1</v>
      </c>
      <c r="F568" t="s">
        <v>1035</v>
      </c>
      <c r="G568" t="s">
        <v>1197</v>
      </c>
      <c r="H568">
        <v>13000</v>
      </c>
      <c r="I568" t="s">
        <v>1027</v>
      </c>
      <c r="J568" t="s">
        <v>1030</v>
      </c>
      <c r="K568" t="s">
        <v>1031</v>
      </c>
    </row>
    <row r="569" spans="1:11" x14ac:dyDescent="0.25">
      <c r="A569" t="s">
        <v>568</v>
      </c>
      <c r="B569" s="1">
        <v>45870</v>
      </c>
      <c r="C569">
        <f t="shared" si="11"/>
        <v>2025</v>
      </c>
      <c r="D569" t="str">
        <f t="shared" si="9"/>
        <v>August</v>
      </c>
      <c r="E569" t="str">
        <f t="shared" si="10"/>
        <v>Week1</v>
      </c>
      <c r="F569" t="s">
        <v>1037</v>
      </c>
      <c r="G569" t="s">
        <v>1199</v>
      </c>
      <c r="H569">
        <v>24000</v>
      </c>
      <c r="I569" t="s">
        <v>1027</v>
      </c>
      <c r="J569" t="s">
        <v>1030</v>
      </c>
      <c r="K569" t="s">
        <v>1031</v>
      </c>
    </row>
    <row r="570" spans="1:11" x14ac:dyDescent="0.25">
      <c r="A570" t="s">
        <v>569</v>
      </c>
      <c r="B570" s="1">
        <v>45873</v>
      </c>
      <c r="C570">
        <f t="shared" si="11"/>
        <v>2025</v>
      </c>
      <c r="D570" t="str">
        <f t="shared" si="9"/>
        <v>August</v>
      </c>
      <c r="E570" t="str">
        <f t="shared" si="10"/>
        <v>Week1</v>
      </c>
      <c r="F570" t="s">
        <v>1040</v>
      </c>
      <c r="G570" t="s">
        <v>1199</v>
      </c>
      <c r="H570">
        <v>24000</v>
      </c>
      <c r="I570" t="s">
        <v>1027</v>
      </c>
      <c r="J570" t="s">
        <v>1030</v>
      </c>
      <c r="K570" t="s">
        <v>1031</v>
      </c>
    </row>
    <row r="571" spans="1:11" x14ac:dyDescent="0.25">
      <c r="A571" t="s">
        <v>570</v>
      </c>
      <c r="B571" s="1">
        <v>45873</v>
      </c>
      <c r="C571">
        <f t="shared" si="11"/>
        <v>2025</v>
      </c>
      <c r="D571" t="str">
        <f t="shared" si="9"/>
        <v>August</v>
      </c>
      <c r="E571" t="str">
        <f t="shared" si="10"/>
        <v>Week1</v>
      </c>
      <c r="F571" t="s">
        <v>1035</v>
      </c>
      <c r="G571" t="s">
        <v>1197</v>
      </c>
      <c r="H571">
        <v>13000</v>
      </c>
      <c r="I571" t="s">
        <v>1027</v>
      </c>
      <c r="J571" t="s">
        <v>1030</v>
      </c>
      <c r="K571" t="s">
        <v>1031</v>
      </c>
    </row>
    <row r="572" spans="1:11" x14ac:dyDescent="0.25">
      <c r="A572" t="s">
        <v>571</v>
      </c>
      <c r="B572" s="1">
        <v>45874</v>
      </c>
      <c r="C572">
        <f t="shared" si="11"/>
        <v>2025</v>
      </c>
      <c r="D572" t="str">
        <f t="shared" si="9"/>
        <v>August</v>
      </c>
      <c r="E572" t="str">
        <f t="shared" si="10"/>
        <v>Week1</v>
      </c>
      <c r="F572" t="s">
        <v>1124</v>
      </c>
      <c r="G572" t="s">
        <v>1010</v>
      </c>
      <c r="H572">
        <v>12000</v>
      </c>
      <c r="I572" t="s">
        <v>1027</v>
      </c>
      <c r="J572" t="s">
        <v>1030</v>
      </c>
      <c r="K572" t="s">
        <v>1031</v>
      </c>
    </row>
    <row r="573" spans="1:11" x14ac:dyDescent="0.25">
      <c r="A573" t="s">
        <v>572</v>
      </c>
      <c r="B573" s="1">
        <v>45874</v>
      </c>
      <c r="C573">
        <f t="shared" si="11"/>
        <v>2025</v>
      </c>
      <c r="D573" t="str">
        <f t="shared" si="9"/>
        <v>August</v>
      </c>
      <c r="E573" t="str">
        <f t="shared" si="10"/>
        <v>Week1</v>
      </c>
      <c r="F573" t="s">
        <v>1176</v>
      </c>
      <c r="G573" t="s">
        <v>1012</v>
      </c>
      <c r="H573">
        <v>135000</v>
      </c>
      <c r="I573" t="s">
        <v>1027</v>
      </c>
      <c r="J573" t="s">
        <v>1030</v>
      </c>
      <c r="K573" t="s">
        <v>1031</v>
      </c>
    </row>
    <row r="574" spans="1:11" x14ac:dyDescent="0.25">
      <c r="A574" t="s">
        <v>573</v>
      </c>
      <c r="B574" s="1">
        <v>45875</v>
      </c>
      <c r="C574">
        <f t="shared" si="11"/>
        <v>2025</v>
      </c>
      <c r="D574" t="str">
        <f t="shared" si="9"/>
        <v>August</v>
      </c>
      <c r="E574" t="str">
        <f t="shared" si="10"/>
        <v>Week1</v>
      </c>
      <c r="F574" t="s">
        <v>1018</v>
      </c>
      <c r="G574" t="s">
        <v>1013</v>
      </c>
      <c r="H574">
        <v>4000</v>
      </c>
      <c r="I574" t="s">
        <v>1027</v>
      </c>
      <c r="J574" t="s">
        <v>1030</v>
      </c>
      <c r="K574" t="s">
        <v>1031</v>
      </c>
    </row>
    <row r="575" spans="1:11" x14ac:dyDescent="0.25">
      <c r="A575" t="s">
        <v>574</v>
      </c>
      <c r="B575" s="1">
        <v>45877</v>
      </c>
      <c r="C575">
        <f t="shared" si="11"/>
        <v>2025</v>
      </c>
      <c r="D575" t="str">
        <f t="shared" si="9"/>
        <v>August</v>
      </c>
      <c r="E575" t="str">
        <f t="shared" si="10"/>
        <v>Week2</v>
      </c>
      <c r="F575" t="s">
        <v>1124</v>
      </c>
      <c r="G575" t="s">
        <v>1010</v>
      </c>
      <c r="H575">
        <v>8000</v>
      </c>
      <c r="I575" t="s">
        <v>1027</v>
      </c>
      <c r="J575" t="s">
        <v>1030</v>
      </c>
      <c r="K575" t="s">
        <v>1031</v>
      </c>
    </row>
    <row r="576" spans="1:11" x14ac:dyDescent="0.25">
      <c r="A576" t="s">
        <v>575</v>
      </c>
      <c r="B576" s="1">
        <v>45877</v>
      </c>
      <c r="C576">
        <f t="shared" si="11"/>
        <v>2025</v>
      </c>
      <c r="D576" t="str">
        <f t="shared" si="9"/>
        <v>August</v>
      </c>
      <c r="E576" t="str">
        <f t="shared" si="10"/>
        <v>Week2</v>
      </c>
      <c r="F576" t="s">
        <v>1033</v>
      </c>
      <c r="G576" t="s">
        <v>1014</v>
      </c>
      <c r="H576">
        <v>123760</v>
      </c>
      <c r="I576" t="s">
        <v>1027</v>
      </c>
      <c r="J576" t="s">
        <v>1030</v>
      </c>
      <c r="K576" t="s">
        <v>1031</v>
      </c>
    </row>
    <row r="577" spans="1:11" x14ac:dyDescent="0.25">
      <c r="A577" t="s">
        <v>576</v>
      </c>
      <c r="B577" s="1">
        <v>45879</v>
      </c>
      <c r="C577">
        <f t="shared" si="11"/>
        <v>2025</v>
      </c>
      <c r="D577" t="str">
        <f t="shared" ref="D577:D683" si="12">TEXT(B577,"mmmm")</f>
        <v>August</v>
      </c>
      <c r="E577" t="str">
        <f t="shared" si="10"/>
        <v>Week2</v>
      </c>
      <c r="F577" t="s">
        <v>1102</v>
      </c>
      <c r="G577" t="s">
        <v>1011</v>
      </c>
      <c r="H577">
        <v>4700</v>
      </c>
      <c r="I577" t="s">
        <v>1027</v>
      </c>
      <c r="J577" t="s">
        <v>1030</v>
      </c>
      <c r="K577" t="s">
        <v>1031</v>
      </c>
    </row>
    <row r="578" spans="1:11" x14ac:dyDescent="0.25">
      <c r="A578" t="s">
        <v>577</v>
      </c>
      <c r="B578" s="1">
        <v>45880</v>
      </c>
      <c r="C578">
        <f t="shared" si="11"/>
        <v>2025</v>
      </c>
      <c r="D578" t="str">
        <f t="shared" si="12"/>
        <v>August</v>
      </c>
      <c r="E578" t="str">
        <f t="shared" si="10"/>
        <v>Week2</v>
      </c>
      <c r="F578" t="s">
        <v>1035</v>
      </c>
      <c r="G578" t="s">
        <v>1197</v>
      </c>
      <c r="H578">
        <v>13000</v>
      </c>
      <c r="I578" t="s">
        <v>1027</v>
      </c>
      <c r="J578" t="s">
        <v>1030</v>
      </c>
      <c r="K578" t="s">
        <v>1031</v>
      </c>
    </row>
    <row r="579" spans="1:11" x14ac:dyDescent="0.25">
      <c r="A579" t="s">
        <v>578</v>
      </c>
      <c r="B579" s="1">
        <v>45883</v>
      </c>
      <c r="C579">
        <f t="shared" si="11"/>
        <v>2025</v>
      </c>
      <c r="D579" t="str">
        <f t="shared" si="12"/>
        <v>August</v>
      </c>
      <c r="E579" t="str">
        <f t="shared" si="10"/>
        <v>Week2</v>
      </c>
      <c r="F579" t="s">
        <v>1102</v>
      </c>
      <c r="G579" t="s">
        <v>1011</v>
      </c>
      <c r="H579">
        <v>18000</v>
      </c>
      <c r="I579" t="s">
        <v>1028</v>
      </c>
      <c r="J579" t="s">
        <v>1030</v>
      </c>
      <c r="K579" t="s">
        <v>1031</v>
      </c>
    </row>
    <row r="580" spans="1:11" x14ac:dyDescent="0.25">
      <c r="A580" t="s">
        <v>579</v>
      </c>
      <c r="B580" s="1">
        <v>45883</v>
      </c>
      <c r="C580">
        <f t="shared" si="11"/>
        <v>2025</v>
      </c>
      <c r="D580" t="str">
        <f t="shared" si="12"/>
        <v>August</v>
      </c>
      <c r="E580" t="str">
        <f t="shared" si="10"/>
        <v>Week2</v>
      </c>
      <c r="F580" t="s">
        <v>1177</v>
      </c>
      <c r="G580" t="s">
        <v>1015</v>
      </c>
      <c r="H580">
        <v>5000</v>
      </c>
      <c r="I580" t="s">
        <v>1029</v>
      </c>
      <c r="J580" t="s">
        <v>1030</v>
      </c>
      <c r="K580" t="s">
        <v>1031</v>
      </c>
    </row>
    <row r="581" spans="1:11" x14ac:dyDescent="0.25">
      <c r="A581" t="s">
        <v>580</v>
      </c>
      <c r="B581" s="1">
        <v>45887</v>
      </c>
      <c r="C581">
        <f t="shared" si="11"/>
        <v>2025</v>
      </c>
      <c r="D581" t="str">
        <f t="shared" si="12"/>
        <v>August</v>
      </c>
      <c r="E581" t="str">
        <f t="shared" si="10"/>
        <v>Week3</v>
      </c>
      <c r="F581" t="s">
        <v>1018</v>
      </c>
      <c r="G581" t="s">
        <v>1013</v>
      </c>
      <c r="H581">
        <v>5000</v>
      </c>
      <c r="I581" t="s">
        <v>1027</v>
      </c>
      <c r="J581" t="s">
        <v>1030</v>
      </c>
      <c r="K581" t="s">
        <v>1031</v>
      </c>
    </row>
    <row r="582" spans="1:11" x14ac:dyDescent="0.25">
      <c r="A582" t="s">
        <v>581</v>
      </c>
      <c r="B582" s="1">
        <v>45887</v>
      </c>
      <c r="C582">
        <f t="shared" si="11"/>
        <v>2025</v>
      </c>
      <c r="D582" t="str">
        <f t="shared" si="12"/>
        <v>August</v>
      </c>
      <c r="E582" t="str">
        <f t="shared" si="10"/>
        <v>Week3</v>
      </c>
      <c r="F582" t="s">
        <v>1035</v>
      </c>
      <c r="G582" t="s">
        <v>1197</v>
      </c>
      <c r="H582">
        <v>13000</v>
      </c>
      <c r="I582" t="s">
        <v>1027</v>
      </c>
      <c r="J582" t="s">
        <v>1030</v>
      </c>
      <c r="K582" t="s">
        <v>1031</v>
      </c>
    </row>
    <row r="583" spans="1:11" x14ac:dyDescent="0.25">
      <c r="A583" t="s">
        <v>582</v>
      </c>
      <c r="B583" s="1">
        <v>45887</v>
      </c>
      <c r="C583">
        <f t="shared" si="11"/>
        <v>2025</v>
      </c>
      <c r="D583" t="str">
        <f t="shared" si="12"/>
        <v>August</v>
      </c>
      <c r="E583" t="str">
        <f t="shared" si="10"/>
        <v>Week3</v>
      </c>
      <c r="F583" t="s">
        <v>1046</v>
      </c>
      <c r="G583" t="s">
        <v>1014</v>
      </c>
      <c r="H583">
        <v>6000</v>
      </c>
      <c r="I583" t="s">
        <v>1029</v>
      </c>
      <c r="J583" t="s">
        <v>1030</v>
      </c>
      <c r="K583" t="s">
        <v>1031</v>
      </c>
    </row>
    <row r="584" spans="1:11" x14ac:dyDescent="0.25">
      <c r="A584" t="s">
        <v>583</v>
      </c>
      <c r="B584" s="1">
        <v>45888</v>
      </c>
      <c r="C584">
        <f t="shared" si="11"/>
        <v>2025</v>
      </c>
      <c r="D584" t="str">
        <f t="shared" si="12"/>
        <v>August</v>
      </c>
      <c r="E584" t="str">
        <f t="shared" si="10"/>
        <v>Week3</v>
      </c>
      <c r="F584" t="s">
        <v>1178</v>
      </c>
      <c r="G584" t="s">
        <v>1198</v>
      </c>
      <c r="H584">
        <v>18000</v>
      </c>
      <c r="I584" t="s">
        <v>1029</v>
      </c>
      <c r="J584" t="s">
        <v>1030</v>
      </c>
      <c r="K584" t="s">
        <v>1031</v>
      </c>
    </row>
    <row r="585" spans="1:11" x14ac:dyDescent="0.25">
      <c r="A585" t="s">
        <v>584</v>
      </c>
      <c r="B585" s="1">
        <v>45889</v>
      </c>
      <c r="C585">
        <f t="shared" si="11"/>
        <v>2025</v>
      </c>
      <c r="D585" t="str">
        <f t="shared" si="12"/>
        <v>August</v>
      </c>
      <c r="E585" t="str">
        <f t="shared" si="10"/>
        <v>Week3</v>
      </c>
      <c r="F585" t="s">
        <v>1179</v>
      </c>
      <c r="G585" t="s">
        <v>1198</v>
      </c>
      <c r="H585">
        <v>13000</v>
      </c>
      <c r="I585" t="s">
        <v>1027</v>
      </c>
      <c r="J585" t="s">
        <v>1030</v>
      </c>
      <c r="K585" t="s">
        <v>1031</v>
      </c>
    </row>
    <row r="586" spans="1:11" x14ac:dyDescent="0.25">
      <c r="A586" t="s">
        <v>585</v>
      </c>
      <c r="B586" s="1">
        <v>45894</v>
      </c>
      <c r="C586">
        <f t="shared" si="11"/>
        <v>2025</v>
      </c>
      <c r="D586" t="str">
        <f t="shared" si="12"/>
        <v>August</v>
      </c>
      <c r="E586" t="str">
        <f t="shared" si="10"/>
        <v>Week4</v>
      </c>
      <c r="F586" t="s">
        <v>1180</v>
      </c>
      <c r="G586" t="s">
        <v>1198</v>
      </c>
      <c r="H586">
        <v>5000</v>
      </c>
      <c r="I586" t="s">
        <v>1027</v>
      </c>
      <c r="J586" t="s">
        <v>1030</v>
      </c>
      <c r="K586" t="s">
        <v>1031</v>
      </c>
    </row>
    <row r="587" spans="1:11" x14ac:dyDescent="0.25">
      <c r="A587" t="s">
        <v>586</v>
      </c>
      <c r="B587" s="1">
        <v>45894</v>
      </c>
      <c r="C587">
        <f t="shared" si="11"/>
        <v>2025</v>
      </c>
      <c r="D587" t="str">
        <f t="shared" si="12"/>
        <v>August</v>
      </c>
      <c r="E587" t="str">
        <f t="shared" si="10"/>
        <v>Week4</v>
      </c>
      <c r="F587" t="s">
        <v>1124</v>
      </c>
      <c r="G587" t="s">
        <v>1010</v>
      </c>
      <c r="H587">
        <v>10000</v>
      </c>
      <c r="I587" t="s">
        <v>1029</v>
      </c>
      <c r="J587" t="s">
        <v>1030</v>
      </c>
      <c r="K587" t="s">
        <v>1031</v>
      </c>
    </row>
    <row r="588" spans="1:11" x14ac:dyDescent="0.25">
      <c r="A588" t="s">
        <v>587</v>
      </c>
      <c r="B588" s="1">
        <v>45896</v>
      </c>
      <c r="C588">
        <f t="shared" si="11"/>
        <v>2025</v>
      </c>
      <c r="D588" t="str">
        <f t="shared" si="12"/>
        <v>August</v>
      </c>
      <c r="E588" t="str">
        <f t="shared" si="10"/>
        <v>Week4</v>
      </c>
      <c r="F588" t="s">
        <v>1102</v>
      </c>
      <c r="G588" t="s">
        <v>1011</v>
      </c>
      <c r="H588">
        <v>22000</v>
      </c>
      <c r="I588" t="s">
        <v>1029</v>
      </c>
      <c r="J588" t="s">
        <v>1030</v>
      </c>
      <c r="K588" t="s">
        <v>1031</v>
      </c>
    </row>
    <row r="589" spans="1:11" x14ac:dyDescent="0.25">
      <c r="A589" t="s">
        <v>588</v>
      </c>
      <c r="B589" s="1">
        <v>45896</v>
      </c>
      <c r="C589">
        <f t="shared" si="11"/>
        <v>2025</v>
      </c>
      <c r="D589" t="str">
        <f t="shared" si="12"/>
        <v>August</v>
      </c>
      <c r="E589" t="str">
        <f t="shared" si="10"/>
        <v>Week4</v>
      </c>
      <c r="F589" t="s">
        <v>1025</v>
      </c>
      <c r="G589" t="s">
        <v>1014</v>
      </c>
      <c r="H589">
        <v>5000</v>
      </c>
      <c r="I589" t="s">
        <v>1027</v>
      </c>
      <c r="J589" t="s">
        <v>1030</v>
      </c>
      <c r="K589" t="s">
        <v>1031</v>
      </c>
    </row>
    <row r="590" spans="1:11" x14ac:dyDescent="0.25">
      <c r="A590" t="s">
        <v>589</v>
      </c>
      <c r="B590" s="1">
        <v>45898</v>
      </c>
      <c r="C590">
        <f t="shared" si="11"/>
        <v>2025</v>
      </c>
      <c r="D590" t="str">
        <f t="shared" si="12"/>
        <v>August</v>
      </c>
      <c r="E590" t="str">
        <f t="shared" si="10"/>
        <v>Week5</v>
      </c>
      <c r="F590" t="s">
        <v>1049</v>
      </c>
      <c r="G590" t="s">
        <v>1199</v>
      </c>
      <c r="H590">
        <v>20000</v>
      </c>
      <c r="I590" t="s">
        <v>1027</v>
      </c>
      <c r="J590" t="s">
        <v>1030</v>
      </c>
      <c r="K590" t="s">
        <v>1031</v>
      </c>
    </row>
    <row r="591" spans="1:11" x14ac:dyDescent="0.25">
      <c r="A591" t="s">
        <v>590</v>
      </c>
      <c r="B591" s="1">
        <v>45901</v>
      </c>
      <c r="C591">
        <f t="shared" si="11"/>
        <v>2025</v>
      </c>
      <c r="D591" t="str">
        <f t="shared" si="12"/>
        <v>September</v>
      </c>
      <c r="E591" t="str">
        <f t="shared" si="10"/>
        <v>Week1</v>
      </c>
      <c r="F591" t="s">
        <v>1119</v>
      </c>
      <c r="G591" t="s">
        <v>1011</v>
      </c>
      <c r="H591">
        <v>15000</v>
      </c>
      <c r="I591" t="s">
        <v>1027</v>
      </c>
      <c r="J591" t="s">
        <v>1030</v>
      </c>
      <c r="K591" t="s">
        <v>1031</v>
      </c>
    </row>
    <row r="592" spans="1:11" x14ac:dyDescent="0.25">
      <c r="A592" t="s">
        <v>591</v>
      </c>
      <c r="B592" s="1">
        <v>45901</v>
      </c>
      <c r="C592">
        <f t="shared" si="11"/>
        <v>2025</v>
      </c>
      <c r="D592" t="str">
        <f t="shared" si="12"/>
        <v>September</v>
      </c>
      <c r="E592" t="str">
        <f t="shared" si="10"/>
        <v>Week1</v>
      </c>
      <c r="F592" t="s">
        <v>1033</v>
      </c>
      <c r="G592" t="s">
        <v>1014</v>
      </c>
      <c r="H592">
        <v>125640</v>
      </c>
      <c r="I592" t="s">
        <v>1028</v>
      </c>
      <c r="J592" t="s">
        <v>1030</v>
      </c>
      <c r="K592" t="s">
        <v>1031</v>
      </c>
    </row>
    <row r="593" spans="1:11" x14ac:dyDescent="0.25">
      <c r="A593" t="s">
        <v>592</v>
      </c>
      <c r="B593" s="1">
        <v>45901</v>
      </c>
      <c r="C593">
        <f t="shared" si="11"/>
        <v>2025</v>
      </c>
      <c r="D593" t="str">
        <f t="shared" si="12"/>
        <v>September</v>
      </c>
      <c r="E593" t="str">
        <f t="shared" si="10"/>
        <v>Week1</v>
      </c>
      <c r="F593" t="s">
        <v>1035</v>
      </c>
      <c r="G593" t="s">
        <v>1197</v>
      </c>
      <c r="H593">
        <v>13000</v>
      </c>
      <c r="I593" t="s">
        <v>1027</v>
      </c>
      <c r="J593" t="s">
        <v>1030</v>
      </c>
      <c r="K593" t="s">
        <v>1031</v>
      </c>
    </row>
    <row r="594" spans="1:11" x14ac:dyDescent="0.25">
      <c r="A594" t="s">
        <v>593</v>
      </c>
      <c r="B594" s="1">
        <v>45901</v>
      </c>
      <c r="C594">
        <f t="shared" si="11"/>
        <v>2025</v>
      </c>
      <c r="D594" t="str">
        <f t="shared" si="12"/>
        <v>September</v>
      </c>
      <c r="E594" t="str">
        <f t="shared" si="10"/>
        <v>Week1</v>
      </c>
      <c r="F594" t="s">
        <v>1037</v>
      </c>
      <c r="G594" t="s">
        <v>1199</v>
      </c>
      <c r="H594">
        <v>24000</v>
      </c>
      <c r="I594" t="s">
        <v>1027</v>
      </c>
      <c r="J594" t="s">
        <v>1030</v>
      </c>
      <c r="K594" t="s">
        <v>1031</v>
      </c>
    </row>
    <row r="595" spans="1:11" x14ac:dyDescent="0.25">
      <c r="A595" t="s">
        <v>594</v>
      </c>
      <c r="B595" s="1">
        <v>45902</v>
      </c>
      <c r="C595">
        <f t="shared" si="11"/>
        <v>2025</v>
      </c>
      <c r="D595" t="str">
        <f t="shared" si="12"/>
        <v>September</v>
      </c>
      <c r="E595" t="str">
        <f t="shared" si="10"/>
        <v>Week1</v>
      </c>
      <c r="F595" t="s">
        <v>1040</v>
      </c>
      <c r="G595" t="s">
        <v>1199</v>
      </c>
      <c r="H595">
        <v>24000</v>
      </c>
      <c r="I595" t="s">
        <v>1027</v>
      </c>
      <c r="J595" t="s">
        <v>1030</v>
      </c>
      <c r="K595" t="s">
        <v>1031</v>
      </c>
    </row>
    <row r="596" spans="1:11" x14ac:dyDescent="0.25">
      <c r="A596" t="s">
        <v>595</v>
      </c>
      <c r="B596" s="1">
        <v>45904</v>
      </c>
      <c r="C596">
        <f t="shared" si="11"/>
        <v>2025</v>
      </c>
      <c r="D596" t="str">
        <f t="shared" si="12"/>
        <v>September</v>
      </c>
      <c r="E596" t="str">
        <f t="shared" si="10"/>
        <v>Week1</v>
      </c>
      <c r="F596" t="s">
        <v>1181</v>
      </c>
      <c r="G596" t="s">
        <v>1010</v>
      </c>
      <c r="H596">
        <v>5000</v>
      </c>
      <c r="I596" t="s">
        <v>1027</v>
      </c>
      <c r="J596" t="s">
        <v>1030</v>
      </c>
      <c r="K596" t="s">
        <v>1031</v>
      </c>
    </row>
    <row r="597" spans="1:11" x14ac:dyDescent="0.25">
      <c r="A597" t="s">
        <v>596</v>
      </c>
      <c r="B597" s="1">
        <v>45908</v>
      </c>
      <c r="C597">
        <f t="shared" si="11"/>
        <v>2025</v>
      </c>
      <c r="D597" t="str">
        <f t="shared" si="12"/>
        <v>September</v>
      </c>
      <c r="E597" t="str">
        <f t="shared" si="10"/>
        <v>Week2</v>
      </c>
      <c r="F597" t="s">
        <v>1035</v>
      </c>
      <c r="G597" t="s">
        <v>1197</v>
      </c>
      <c r="H597">
        <v>13000</v>
      </c>
      <c r="I597" t="s">
        <v>1027</v>
      </c>
      <c r="J597" t="s">
        <v>1030</v>
      </c>
      <c r="K597" t="s">
        <v>1031</v>
      </c>
    </row>
    <row r="598" spans="1:11" x14ac:dyDescent="0.25">
      <c r="A598" t="s">
        <v>597</v>
      </c>
      <c r="B598" s="1">
        <v>45908</v>
      </c>
      <c r="C598">
        <f t="shared" si="11"/>
        <v>2025</v>
      </c>
      <c r="D598" t="str">
        <f t="shared" si="12"/>
        <v>September</v>
      </c>
      <c r="E598" t="str">
        <f t="shared" si="10"/>
        <v>Week2</v>
      </c>
      <c r="F598" t="s">
        <v>1046</v>
      </c>
      <c r="G598" t="s">
        <v>1014</v>
      </c>
      <c r="H598">
        <v>6000</v>
      </c>
      <c r="I598" t="s">
        <v>1027</v>
      </c>
      <c r="J598" t="s">
        <v>1030</v>
      </c>
      <c r="K598" t="s">
        <v>1031</v>
      </c>
    </row>
    <row r="599" spans="1:11" x14ac:dyDescent="0.25">
      <c r="A599" t="s">
        <v>598</v>
      </c>
      <c r="B599" s="1">
        <v>45908</v>
      </c>
      <c r="C599">
        <f t="shared" si="11"/>
        <v>2025</v>
      </c>
      <c r="D599" t="str">
        <f t="shared" si="12"/>
        <v>September</v>
      </c>
      <c r="E599" t="str">
        <f t="shared" si="10"/>
        <v>Week2</v>
      </c>
      <c r="F599" t="s">
        <v>1182</v>
      </c>
      <c r="G599" t="s">
        <v>1198</v>
      </c>
      <c r="H599">
        <v>3000</v>
      </c>
      <c r="I599" t="s">
        <v>1027</v>
      </c>
      <c r="J599" t="s">
        <v>1030</v>
      </c>
      <c r="K599" t="s">
        <v>1031</v>
      </c>
    </row>
    <row r="600" spans="1:11" x14ac:dyDescent="0.25">
      <c r="A600" t="s">
        <v>599</v>
      </c>
      <c r="B600" s="1">
        <v>45914</v>
      </c>
      <c r="C600">
        <f t="shared" si="11"/>
        <v>2025</v>
      </c>
      <c r="D600" t="str">
        <f t="shared" si="12"/>
        <v>September</v>
      </c>
      <c r="E600" t="str">
        <f t="shared" si="10"/>
        <v>Week2</v>
      </c>
      <c r="F600" t="s">
        <v>1018</v>
      </c>
      <c r="G600" t="s">
        <v>1013</v>
      </c>
      <c r="H600">
        <v>4000</v>
      </c>
      <c r="I600" t="s">
        <v>1027</v>
      </c>
      <c r="J600" t="s">
        <v>1030</v>
      </c>
      <c r="K600" t="s">
        <v>1031</v>
      </c>
    </row>
    <row r="601" spans="1:11" x14ac:dyDescent="0.25">
      <c r="A601" t="s">
        <v>600</v>
      </c>
      <c r="B601" s="1">
        <v>45915</v>
      </c>
      <c r="C601">
        <f t="shared" si="11"/>
        <v>2025</v>
      </c>
      <c r="D601" t="str">
        <f t="shared" si="12"/>
        <v>September</v>
      </c>
      <c r="E601" t="str">
        <f t="shared" si="10"/>
        <v>Week3</v>
      </c>
      <c r="F601" t="s">
        <v>1035</v>
      </c>
      <c r="G601" t="s">
        <v>1197</v>
      </c>
      <c r="H601">
        <v>13000</v>
      </c>
      <c r="I601" t="s">
        <v>1027</v>
      </c>
      <c r="J601" t="s">
        <v>1030</v>
      </c>
      <c r="K601" t="s">
        <v>1031</v>
      </c>
    </row>
    <row r="602" spans="1:11" x14ac:dyDescent="0.25">
      <c r="A602" t="s">
        <v>601</v>
      </c>
      <c r="B602" s="1">
        <v>45916</v>
      </c>
      <c r="C602">
        <f t="shared" si="11"/>
        <v>2025</v>
      </c>
      <c r="D602" t="str">
        <f t="shared" si="12"/>
        <v>September</v>
      </c>
      <c r="E602" t="str">
        <f t="shared" si="10"/>
        <v>Week3</v>
      </c>
      <c r="F602" t="s">
        <v>1124</v>
      </c>
      <c r="G602" t="s">
        <v>1010</v>
      </c>
      <c r="H602">
        <v>15000</v>
      </c>
      <c r="I602" t="s">
        <v>1029</v>
      </c>
      <c r="J602" t="s">
        <v>1030</v>
      </c>
      <c r="K602" t="s">
        <v>1031</v>
      </c>
    </row>
    <row r="603" spans="1:11" x14ac:dyDescent="0.25">
      <c r="A603" t="s">
        <v>602</v>
      </c>
      <c r="B603" s="1">
        <v>45917</v>
      </c>
      <c r="C603">
        <f t="shared" si="11"/>
        <v>2025</v>
      </c>
      <c r="D603" t="str">
        <f t="shared" si="12"/>
        <v>September</v>
      </c>
      <c r="E603" t="str">
        <f t="shared" si="10"/>
        <v>Week3</v>
      </c>
      <c r="F603" t="s">
        <v>1018</v>
      </c>
      <c r="G603" t="s">
        <v>1013</v>
      </c>
      <c r="H603">
        <v>5000</v>
      </c>
      <c r="I603" t="s">
        <v>1027</v>
      </c>
      <c r="J603" t="s">
        <v>1030</v>
      </c>
      <c r="K603" t="s">
        <v>1031</v>
      </c>
    </row>
    <row r="604" spans="1:11" x14ac:dyDescent="0.25">
      <c r="A604" t="s">
        <v>603</v>
      </c>
      <c r="B604" s="1">
        <v>45903</v>
      </c>
      <c r="C604">
        <f t="shared" si="11"/>
        <v>2025</v>
      </c>
      <c r="D604" t="str">
        <f t="shared" si="12"/>
        <v>September</v>
      </c>
      <c r="E604" t="str">
        <f t="shared" si="10"/>
        <v>Week1</v>
      </c>
      <c r="F604" t="s">
        <v>1025</v>
      </c>
      <c r="G604" t="s">
        <v>1014</v>
      </c>
      <c r="H604">
        <v>10000</v>
      </c>
      <c r="I604" t="s">
        <v>1027</v>
      </c>
      <c r="J604" t="s">
        <v>1030</v>
      </c>
      <c r="K604" t="s">
        <v>1031</v>
      </c>
    </row>
    <row r="605" spans="1:11" x14ac:dyDescent="0.25">
      <c r="A605" t="s">
        <v>604</v>
      </c>
      <c r="B605" s="1">
        <v>45922</v>
      </c>
      <c r="C605">
        <f t="shared" si="11"/>
        <v>2025</v>
      </c>
      <c r="D605" t="str">
        <f t="shared" si="12"/>
        <v>September</v>
      </c>
      <c r="E605" t="str">
        <f t="shared" si="10"/>
        <v>Week4</v>
      </c>
      <c r="F605" t="s">
        <v>1035</v>
      </c>
      <c r="G605" t="s">
        <v>1197</v>
      </c>
      <c r="H605">
        <v>13000</v>
      </c>
      <c r="I605" t="s">
        <v>1027</v>
      </c>
      <c r="J605" t="s">
        <v>1030</v>
      </c>
      <c r="K605" t="s">
        <v>1031</v>
      </c>
    </row>
    <row r="606" spans="1:11" x14ac:dyDescent="0.25">
      <c r="A606" t="s">
        <v>605</v>
      </c>
      <c r="B606" s="1">
        <v>45923</v>
      </c>
      <c r="C606">
        <f t="shared" si="11"/>
        <v>2025</v>
      </c>
      <c r="D606" t="str">
        <f t="shared" si="12"/>
        <v>September</v>
      </c>
      <c r="E606" t="str">
        <f t="shared" si="10"/>
        <v>Week4</v>
      </c>
      <c r="F606" t="s">
        <v>1046</v>
      </c>
      <c r="G606" t="s">
        <v>1014</v>
      </c>
      <c r="H606">
        <v>6000</v>
      </c>
      <c r="I606" t="s">
        <v>1027</v>
      </c>
      <c r="J606" t="s">
        <v>1030</v>
      </c>
      <c r="K606" t="s">
        <v>1031</v>
      </c>
    </row>
    <row r="607" spans="1:11" x14ac:dyDescent="0.25">
      <c r="A607" t="s">
        <v>606</v>
      </c>
      <c r="B607" s="1">
        <v>45923</v>
      </c>
      <c r="C607">
        <f t="shared" si="11"/>
        <v>2025</v>
      </c>
      <c r="D607" t="str">
        <f t="shared" si="12"/>
        <v>September</v>
      </c>
      <c r="E607" t="str">
        <f t="shared" si="10"/>
        <v>Week4</v>
      </c>
      <c r="F607" t="s">
        <v>1124</v>
      </c>
      <c r="G607" t="s">
        <v>1010</v>
      </c>
      <c r="H607">
        <v>15000</v>
      </c>
      <c r="I607" t="s">
        <v>1028</v>
      </c>
      <c r="J607" t="s">
        <v>1030</v>
      </c>
      <c r="K607" t="s">
        <v>1031</v>
      </c>
    </row>
    <row r="608" spans="1:11" x14ac:dyDescent="0.25">
      <c r="A608" t="s">
        <v>607</v>
      </c>
      <c r="B608" s="1">
        <v>45924</v>
      </c>
      <c r="C608">
        <f t="shared" si="11"/>
        <v>2025</v>
      </c>
      <c r="D608" t="str">
        <f t="shared" si="12"/>
        <v>September</v>
      </c>
      <c r="E608" t="str">
        <f t="shared" si="10"/>
        <v>Week4</v>
      </c>
      <c r="F608" t="s">
        <v>1183</v>
      </c>
      <c r="G608" t="s">
        <v>1010</v>
      </c>
      <c r="H608">
        <v>5000</v>
      </c>
      <c r="I608" t="s">
        <v>1027</v>
      </c>
      <c r="J608" t="s">
        <v>1030</v>
      </c>
      <c r="K608" t="s">
        <v>1031</v>
      </c>
    </row>
    <row r="609" spans="1:11" x14ac:dyDescent="0.25">
      <c r="A609" t="s">
        <v>608</v>
      </c>
      <c r="B609" s="1">
        <v>45924</v>
      </c>
      <c r="C609">
        <f t="shared" si="11"/>
        <v>2025</v>
      </c>
      <c r="D609" t="str">
        <f t="shared" si="12"/>
        <v>September</v>
      </c>
      <c r="E609" t="str">
        <f t="shared" si="10"/>
        <v>Week4</v>
      </c>
      <c r="F609" t="s">
        <v>1070</v>
      </c>
      <c r="G609" t="s">
        <v>1010</v>
      </c>
      <c r="H609">
        <v>12000</v>
      </c>
      <c r="I609" t="s">
        <v>1027</v>
      </c>
      <c r="J609" t="s">
        <v>1030</v>
      </c>
      <c r="K609" t="s">
        <v>1031</v>
      </c>
    </row>
    <row r="610" spans="1:11" x14ac:dyDescent="0.25">
      <c r="A610" t="s">
        <v>609</v>
      </c>
      <c r="B610" s="1">
        <v>45929</v>
      </c>
      <c r="C610">
        <f t="shared" si="11"/>
        <v>2025</v>
      </c>
      <c r="D610" t="str">
        <f t="shared" si="12"/>
        <v>September</v>
      </c>
      <c r="E610" t="str">
        <f t="shared" si="10"/>
        <v>Week5</v>
      </c>
      <c r="F610" t="s">
        <v>1035</v>
      </c>
      <c r="G610" t="s">
        <v>1197</v>
      </c>
      <c r="H610">
        <v>13000</v>
      </c>
      <c r="I610" t="s">
        <v>1027</v>
      </c>
      <c r="J610" t="s">
        <v>1030</v>
      </c>
      <c r="K610" t="s">
        <v>1031</v>
      </c>
    </row>
    <row r="611" spans="1:11" x14ac:dyDescent="0.25">
      <c r="A611" t="s">
        <v>610</v>
      </c>
      <c r="B611" s="1">
        <v>45930</v>
      </c>
      <c r="C611">
        <f t="shared" si="11"/>
        <v>2025</v>
      </c>
      <c r="D611" t="str">
        <f t="shared" si="12"/>
        <v>September</v>
      </c>
      <c r="E611" t="str">
        <f t="shared" si="10"/>
        <v>Week5</v>
      </c>
      <c r="F611" t="s">
        <v>1025</v>
      </c>
      <c r="G611" t="s">
        <v>1014</v>
      </c>
      <c r="H611">
        <v>5000</v>
      </c>
      <c r="I611" t="s">
        <v>1027</v>
      </c>
      <c r="J611" t="s">
        <v>1030</v>
      </c>
      <c r="K611" t="s">
        <v>1031</v>
      </c>
    </row>
    <row r="612" spans="1:11" x14ac:dyDescent="0.25">
      <c r="A612" t="s">
        <v>611</v>
      </c>
      <c r="B612" s="1">
        <v>45929</v>
      </c>
      <c r="C612">
        <f t="shared" si="11"/>
        <v>2025</v>
      </c>
      <c r="D612" t="str">
        <f t="shared" si="12"/>
        <v>September</v>
      </c>
      <c r="E612" t="str">
        <f t="shared" si="10"/>
        <v>Week5</v>
      </c>
      <c r="F612" t="s">
        <v>1049</v>
      </c>
      <c r="G612" t="s">
        <v>1199</v>
      </c>
      <c r="H612">
        <v>20000</v>
      </c>
      <c r="I612" t="s">
        <v>1027</v>
      </c>
      <c r="J612" t="s">
        <v>1030</v>
      </c>
      <c r="K612" t="s">
        <v>1031</v>
      </c>
    </row>
    <row r="613" spans="1:11" x14ac:dyDescent="0.25">
      <c r="A613" t="s">
        <v>612</v>
      </c>
      <c r="B613" s="1">
        <v>45930</v>
      </c>
      <c r="C613">
        <f t="shared" si="11"/>
        <v>2025</v>
      </c>
      <c r="D613" t="str">
        <f t="shared" si="12"/>
        <v>September</v>
      </c>
      <c r="E613" t="str">
        <f t="shared" si="10"/>
        <v>Week5</v>
      </c>
      <c r="F613" t="s">
        <v>1102</v>
      </c>
      <c r="G613" t="s">
        <v>1011</v>
      </c>
      <c r="H613">
        <v>22000</v>
      </c>
      <c r="I613" t="s">
        <v>1028</v>
      </c>
      <c r="J613" t="s">
        <v>1030</v>
      </c>
      <c r="K613" t="s">
        <v>1031</v>
      </c>
    </row>
    <row r="614" spans="1:11" x14ac:dyDescent="0.25">
      <c r="A614" t="s">
        <v>613</v>
      </c>
      <c r="B614" s="1">
        <v>45932</v>
      </c>
      <c r="C614">
        <f t="shared" si="11"/>
        <v>2025</v>
      </c>
      <c r="D614" t="str">
        <f t="shared" si="12"/>
        <v>October</v>
      </c>
      <c r="E614" t="str">
        <f t="shared" si="10"/>
        <v>Week1</v>
      </c>
      <c r="F614" t="s">
        <v>1037</v>
      </c>
      <c r="G614" t="s">
        <v>1199</v>
      </c>
      <c r="H614">
        <v>24000</v>
      </c>
      <c r="I614" t="s">
        <v>1027</v>
      </c>
      <c r="J614" t="s">
        <v>1030</v>
      </c>
      <c r="K614" t="s">
        <v>1031</v>
      </c>
    </row>
    <row r="615" spans="1:11" x14ac:dyDescent="0.25">
      <c r="A615" t="s">
        <v>614</v>
      </c>
      <c r="B615" s="1">
        <v>45933</v>
      </c>
      <c r="C615">
        <f t="shared" si="11"/>
        <v>2025</v>
      </c>
      <c r="D615" t="str">
        <f t="shared" si="12"/>
        <v>October</v>
      </c>
      <c r="E615" t="str">
        <f t="shared" si="10"/>
        <v>Week1</v>
      </c>
      <c r="F615" t="s">
        <v>1018</v>
      </c>
      <c r="G615" t="s">
        <v>1013</v>
      </c>
      <c r="H615">
        <v>4000</v>
      </c>
      <c r="I615" t="s">
        <v>1027</v>
      </c>
      <c r="J615" t="s">
        <v>1030</v>
      </c>
      <c r="K615" t="s">
        <v>1031</v>
      </c>
    </row>
    <row r="616" spans="1:11" x14ac:dyDescent="0.25">
      <c r="A616" t="s">
        <v>615</v>
      </c>
      <c r="B616" s="1">
        <v>45934</v>
      </c>
      <c r="C616">
        <f t="shared" si="11"/>
        <v>2025</v>
      </c>
      <c r="D616" t="str">
        <f t="shared" si="12"/>
        <v>October</v>
      </c>
      <c r="E616" t="str">
        <f t="shared" si="10"/>
        <v>Week1</v>
      </c>
      <c r="F616" t="s">
        <v>1102</v>
      </c>
      <c r="G616" t="s">
        <v>1011</v>
      </c>
      <c r="H616">
        <v>22000</v>
      </c>
      <c r="I616" t="s">
        <v>1027</v>
      </c>
      <c r="J616" t="s">
        <v>1030</v>
      </c>
      <c r="K616" t="s">
        <v>1031</v>
      </c>
    </row>
    <row r="617" spans="1:11" x14ac:dyDescent="0.25">
      <c r="A617" t="s">
        <v>616</v>
      </c>
      <c r="B617" s="1">
        <v>45936</v>
      </c>
      <c r="C617">
        <f t="shared" si="11"/>
        <v>2025</v>
      </c>
      <c r="D617" t="str">
        <f t="shared" si="12"/>
        <v>October</v>
      </c>
      <c r="E617" t="str">
        <f t="shared" si="10"/>
        <v>Week1</v>
      </c>
      <c r="F617" t="s">
        <v>1040</v>
      </c>
      <c r="G617" t="s">
        <v>1199</v>
      </c>
      <c r="H617">
        <v>24000</v>
      </c>
      <c r="I617" t="s">
        <v>1027</v>
      </c>
      <c r="J617" t="s">
        <v>1030</v>
      </c>
      <c r="K617" t="s">
        <v>1031</v>
      </c>
    </row>
    <row r="618" spans="1:11" x14ac:dyDescent="0.25">
      <c r="A618" t="s">
        <v>617</v>
      </c>
      <c r="B618" s="1">
        <v>45929</v>
      </c>
      <c r="C618">
        <f t="shared" si="11"/>
        <v>2025</v>
      </c>
      <c r="D618" t="str">
        <f t="shared" si="12"/>
        <v>September</v>
      </c>
      <c r="E618" t="str">
        <f t="shared" si="10"/>
        <v>Week5</v>
      </c>
      <c r="F618" t="s">
        <v>1102</v>
      </c>
      <c r="G618" t="s">
        <v>1011</v>
      </c>
      <c r="H618">
        <v>22000</v>
      </c>
      <c r="I618" t="s">
        <v>1027</v>
      </c>
      <c r="J618" t="s">
        <v>1030</v>
      </c>
      <c r="K618" t="s">
        <v>1031</v>
      </c>
    </row>
    <row r="619" spans="1:11" x14ac:dyDescent="0.25">
      <c r="A619" t="s">
        <v>618</v>
      </c>
      <c r="B619" s="1">
        <v>45936</v>
      </c>
      <c r="C619">
        <f t="shared" si="11"/>
        <v>2025</v>
      </c>
      <c r="D619" t="str">
        <f t="shared" si="12"/>
        <v>October</v>
      </c>
      <c r="E619" t="str">
        <f t="shared" si="10"/>
        <v>Week1</v>
      </c>
      <c r="F619" t="s">
        <v>1033</v>
      </c>
      <c r="G619" t="s">
        <v>1014</v>
      </c>
      <c r="H619">
        <v>124330</v>
      </c>
      <c r="I619" t="s">
        <v>1028</v>
      </c>
      <c r="J619" t="s">
        <v>1030</v>
      </c>
      <c r="K619" t="s">
        <v>1031</v>
      </c>
    </row>
    <row r="620" spans="1:11" x14ac:dyDescent="0.25">
      <c r="A620" t="s">
        <v>619</v>
      </c>
      <c r="B620" s="1">
        <v>45936</v>
      </c>
      <c r="C620">
        <f t="shared" si="11"/>
        <v>2025</v>
      </c>
      <c r="D620" t="str">
        <f t="shared" si="12"/>
        <v>October</v>
      </c>
      <c r="E620" t="str">
        <f t="shared" si="10"/>
        <v>Week1</v>
      </c>
      <c r="F620" t="s">
        <v>1035</v>
      </c>
      <c r="G620" t="s">
        <v>1197</v>
      </c>
      <c r="H620">
        <v>13000</v>
      </c>
      <c r="I620" t="s">
        <v>1027</v>
      </c>
      <c r="J620" t="s">
        <v>1030</v>
      </c>
      <c r="K620" t="s">
        <v>1031</v>
      </c>
    </row>
    <row r="621" spans="1:11" x14ac:dyDescent="0.25">
      <c r="A621" t="s">
        <v>620</v>
      </c>
      <c r="B621" s="1">
        <v>45937</v>
      </c>
      <c r="C621">
        <f t="shared" si="11"/>
        <v>2025</v>
      </c>
      <c r="D621" t="str">
        <f t="shared" si="12"/>
        <v>October</v>
      </c>
      <c r="E621" t="str">
        <f t="shared" si="10"/>
        <v>Week1</v>
      </c>
      <c r="F621" t="s">
        <v>1102</v>
      </c>
      <c r="G621" t="s">
        <v>1011</v>
      </c>
      <c r="H621">
        <v>22000</v>
      </c>
      <c r="I621" t="s">
        <v>1027</v>
      </c>
      <c r="J621" t="s">
        <v>1030</v>
      </c>
      <c r="K621" t="s">
        <v>1031</v>
      </c>
    </row>
    <row r="622" spans="1:11" x14ac:dyDescent="0.25">
      <c r="A622" t="s">
        <v>621</v>
      </c>
      <c r="B622" s="1">
        <v>45939</v>
      </c>
      <c r="C622">
        <f t="shared" si="11"/>
        <v>2025</v>
      </c>
      <c r="D622" t="str">
        <f t="shared" si="12"/>
        <v>October</v>
      </c>
      <c r="E622" t="str">
        <f t="shared" si="10"/>
        <v>Week2</v>
      </c>
      <c r="F622" t="s">
        <v>1018</v>
      </c>
      <c r="G622" t="s">
        <v>1013</v>
      </c>
      <c r="H622">
        <v>5000</v>
      </c>
      <c r="I622" t="s">
        <v>1027</v>
      </c>
      <c r="J622" t="s">
        <v>1030</v>
      </c>
      <c r="K622" t="s">
        <v>1031</v>
      </c>
    </row>
    <row r="623" spans="1:11" x14ac:dyDescent="0.25">
      <c r="A623" t="s">
        <v>622</v>
      </c>
      <c r="B623" s="1">
        <v>45940</v>
      </c>
      <c r="C623">
        <f t="shared" si="11"/>
        <v>2025</v>
      </c>
      <c r="D623" t="str">
        <f t="shared" si="12"/>
        <v>October</v>
      </c>
      <c r="E623" t="str">
        <f t="shared" si="10"/>
        <v>Week2</v>
      </c>
      <c r="F623" t="s">
        <v>1124</v>
      </c>
      <c r="G623" t="s">
        <v>1010</v>
      </c>
      <c r="H623">
        <v>13000</v>
      </c>
      <c r="I623" t="s">
        <v>1029</v>
      </c>
      <c r="J623" t="s">
        <v>1030</v>
      </c>
      <c r="K623" t="s">
        <v>1031</v>
      </c>
    </row>
    <row r="624" spans="1:11" x14ac:dyDescent="0.25">
      <c r="A624" t="s">
        <v>623</v>
      </c>
      <c r="B624" s="1">
        <v>45943</v>
      </c>
      <c r="C624">
        <f t="shared" si="11"/>
        <v>2025</v>
      </c>
      <c r="D624" t="str">
        <f t="shared" si="12"/>
        <v>October</v>
      </c>
      <c r="E624" t="str">
        <f t="shared" si="10"/>
        <v>Week2</v>
      </c>
      <c r="F624" t="s">
        <v>1035</v>
      </c>
      <c r="G624" t="s">
        <v>1197</v>
      </c>
      <c r="H624">
        <v>76800</v>
      </c>
      <c r="I624" t="s">
        <v>1027</v>
      </c>
      <c r="J624" t="s">
        <v>1030</v>
      </c>
      <c r="K624" t="s">
        <v>1031</v>
      </c>
    </row>
    <row r="625" spans="1:11" x14ac:dyDescent="0.25">
      <c r="A625" t="s">
        <v>624</v>
      </c>
      <c r="B625" s="1">
        <v>45947</v>
      </c>
      <c r="C625">
        <f t="shared" si="11"/>
        <v>2025</v>
      </c>
      <c r="D625" t="str">
        <f t="shared" si="12"/>
        <v>October</v>
      </c>
      <c r="E625" t="str">
        <f t="shared" si="10"/>
        <v>Week3</v>
      </c>
      <c r="F625" t="s">
        <v>1018</v>
      </c>
      <c r="G625" t="s">
        <v>1013</v>
      </c>
      <c r="H625">
        <v>15000</v>
      </c>
      <c r="I625" t="s">
        <v>1027</v>
      </c>
      <c r="J625" t="s">
        <v>1030</v>
      </c>
      <c r="K625" t="s">
        <v>1031</v>
      </c>
    </row>
    <row r="626" spans="1:11" x14ac:dyDescent="0.25">
      <c r="A626" t="s">
        <v>625</v>
      </c>
      <c r="B626" s="1">
        <v>45950</v>
      </c>
      <c r="C626">
        <f t="shared" si="11"/>
        <v>2025</v>
      </c>
      <c r="D626" t="str">
        <f t="shared" si="12"/>
        <v>October</v>
      </c>
      <c r="E626" t="str">
        <f t="shared" si="10"/>
        <v>Week3</v>
      </c>
      <c r="F626" t="s">
        <v>1046</v>
      </c>
      <c r="G626" t="s">
        <v>1014</v>
      </c>
      <c r="H626">
        <v>6000</v>
      </c>
      <c r="I626" t="s">
        <v>1029</v>
      </c>
      <c r="J626" t="s">
        <v>1030</v>
      </c>
      <c r="K626" t="s">
        <v>1031</v>
      </c>
    </row>
    <row r="627" spans="1:11" x14ac:dyDescent="0.25">
      <c r="A627" t="s">
        <v>626</v>
      </c>
      <c r="B627" s="1">
        <v>45951</v>
      </c>
      <c r="C627">
        <f t="shared" si="11"/>
        <v>2025</v>
      </c>
      <c r="D627" t="str">
        <f t="shared" si="12"/>
        <v>October</v>
      </c>
      <c r="E627" t="str">
        <f t="shared" si="10"/>
        <v>Week3</v>
      </c>
      <c r="F627" t="s">
        <v>1041</v>
      </c>
      <c r="G627" t="s">
        <v>1010</v>
      </c>
      <c r="H627">
        <v>2000</v>
      </c>
      <c r="I627" t="s">
        <v>1029</v>
      </c>
      <c r="J627" t="s">
        <v>1030</v>
      </c>
      <c r="K627" t="s">
        <v>1031</v>
      </c>
    </row>
    <row r="628" spans="1:11" x14ac:dyDescent="0.25">
      <c r="A628" t="s">
        <v>627</v>
      </c>
      <c r="B628" s="1">
        <v>45952</v>
      </c>
      <c r="C628">
        <f t="shared" si="11"/>
        <v>2025</v>
      </c>
      <c r="D628" t="str">
        <f t="shared" si="12"/>
        <v>October</v>
      </c>
      <c r="E628" t="str">
        <f t="shared" si="10"/>
        <v>Week4</v>
      </c>
      <c r="F628" t="s">
        <v>1184</v>
      </c>
      <c r="G628" t="s">
        <v>1010</v>
      </c>
      <c r="H628">
        <v>8000</v>
      </c>
      <c r="I628" t="s">
        <v>1027</v>
      </c>
      <c r="J628" t="s">
        <v>1030</v>
      </c>
      <c r="K628" t="s">
        <v>1031</v>
      </c>
    </row>
    <row r="629" spans="1:11" x14ac:dyDescent="0.25">
      <c r="A629" t="s">
        <v>628</v>
      </c>
      <c r="B629" s="1">
        <v>45957</v>
      </c>
      <c r="C629">
        <f t="shared" si="11"/>
        <v>2025</v>
      </c>
      <c r="D629" t="str">
        <f t="shared" si="12"/>
        <v>October</v>
      </c>
      <c r="E629" t="str">
        <f t="shared" si="10"/>
        <v>Week4</v>
      </c>
      <c r="F629" t="s">
        <v>1094</v>
      </c>
      <c r="G629" t="s">
        <v>1198</v>
      </c>
      <c r="H629">
        <v>7500</v>
      </c>
      <c r="I629" t="s">
        <v>1027</v>
      </c>
      <c r="J629" t="s">
        <v>1030</v>
      </c>
      <c r="K629" t="s">
        <v>1031</v>
      </c>
    </row>
    <row r="630" spans="1:11" x14ac:dyDescent="0.25">
      <c r="A630" t="s">
        <v>629</v>
      </c>
      <c r="B630" s="1">
        <v>45957</v>
      </c>
      <c r="C630">
        <f t="shared" si="11"/>
        <v>2025</v>
      </c>
      <c r="D630" t="str">
        <f t="shared" si="12"/>
        <v>October</v>
      </c>
      <c r="E630" t="str">
        <f t="shared" si="10"/>
        <v>Week4</v>
      </c>
      <c r="F630" t="s">
        <v>1035</v>
      </c>
      <c r="G630" t="s">
        <v>1197</v>
      </c>
      <c r="H630">
        <v>13000</v>
      </c>
      <c r="I630" t="s">
        <v>1027</v>
      </c>
      <c r="J630" t="s">
        <v>1030</v>
      </c>
      <c r="K630" t="s">
        <v>1031</v>
      </c>
    </row>
    <row r="631" spans="1:11" x14ac:dyDescent="0.25">
      <c r="A631" t="s">
        <v>630</v>
      </c>
      <c r="B631" s="1">
        <v>45958</v>
      </c>
      <c r="C631">
        <f t="shared" si="11"/>
        <v>2025</v>
      </c>
      <c r="D631" t="str">
        <f t="shared" si="12"/>
        <v>October</v>
      </c>
      <c r="E631" t="str">
        <f t="shared" si="10"/>
        <v>Week4</v>
      </c>
      <c r="F631" t="s">
        <v>1169</v>
      </c>
      <c r="G631" t="s">
        <v>1012</v>
      </c>
      <c r="H631">
        <v>53450</v>
      </c>
      <c r="I631" t="s">
        <v>1027</v>
      </c>
      <c r="J631" t="s">
        <v>1030</v>
      </c>
      <c r="K631" t="s">
        <v>1031</v>
      </c>
    </row>
    <row r="632" spans="1:11" x14ac:dyDescent="0.25">
      <c r="A632" t="s">
        <v>631</v>
      </c>
      <c r="B632" s="1">
        <v>45958</v>
      </c>
      <c r="C632">
        <f t="shared" si="11"/>
        <v>2025</v>
      </c>
      <c r="D632" t="str">
        <f t="shared" si="12"/>
        <v>October</v>
      </c>
      <c r="E632" t="str">
        <f t="shared" si="10"/>
        <v>Week4</v>
      </c>
      <c r="F632" t="s">
        <v>1049</v>
      </c>
      <c r="G632" t="s">
        <v>1199</v>
      </c>
      <c r="H632">
        <v>20000</v>
      </c>
      <c r="I632" t="s">
        <v>1027</v>
      </c>
      <c r="J632" t="s">
        <v>1030</v>
      </c>
      <c r="K632" t="s">
        <v>1031</v>
      </c>
    </row>
    <row r="633" spans="1:11" x14ac:dyDescent="0.25">
      <c r="A633" t="s">
        <v>632</v>
      </c>
      <c r="B633" s="1">
        <v>45952</v>
      </c>
      <c r="C633">
        <f t="shared" si="11"/>
        <v>2025</v>
      </c>
      <c r="D633" t="str">
        <f t="shared" si="12"/>
        <v>October</v>
      </c>
      <c r="E633" t="str">
        <f t="shared" si="10"/>
        <v>Week4</v>
      </c>
      <c r="F633" t="s">
        <v>1018</v>
      </c>
      <c r="G633" t="s">
        <v>1013</v>
      </c>
      <c r="H633">
        <v>4000</v>
      </c>
      <c r="I633" t="s">
        <v>1027</v>
      </c>
      <c r="J633" t="s">
        <v>1030</v>
      </c>
      <c r="K633" t="s">
        <v>1031</v>
      </c>
    </row>
    <row r="634" spans="1:11" x14ac:dyDescent="0.25">
      <c r="A634" t="s">
        <v>633</v>
      </c>
      <c r="B634" s="1">
        <v>45962</v>
      </c>
      <c r="C634">
        <f t="shared" si="11"/>
        <v>2025</v>
      </c>
      <c r="D634" t="str">
        <f t="shared" si="12"/>
        <v>November</v>
      </c>
      <c r="E634" t="str">
        <f t="shared" si="10"/>
        <v>Week1</v>
      </c>
      <c r="F634" t="s">
        <v>1018</v>
      </c>
      <c r="G634" t="s">
        <v>1013</v>
      </c>
      <c r="H634">
        <v>4000</v>
      </c>
      <c r="I634" t="s">
        <v>1027</v>
      </c>
      <c r="J634" t="s">
        <v>1030</v>
      </c>
      <c r="K634" t="s">
        <v>1031</v>
      </c>
    </row>
    <row r="635" spans="1:11" x14ac:dyDescent="0.25">
      <c r="A635" t="s">
        <v>634</v>
      </c>
      <c r="B635" s="1">
        <v>45964</v>
      </c>
      <c r="C635">
        <f t="shared" si="11"/>
        <v>2025</v>
      </c>
      <c r="D635" t="str">
        <f t="shared" si="12"/>
        <v>November</v>
      </c>
      <c r="E635" t="str">
        <f t="shared" si="10"/>
        <v>Week1</v>
      </c>
      <c r="F635" t="s">
        <v>1035</v>
      </c>
      <c r="G635" t="s">
        <v>1197</v>
      </c>
      <c r="H635">
        <v>13000</v>
      </c>
      <c r="I635" t="s">
        <v>1027</v>
      </c>
      <c r="J635" t="s">
        <v>1030</v>
      </c>
      <c r="K635" t="s">
        <v>1031</v>
      </c>
    </row>
    <row r="636" spans="1:11" x14ac:dyDescent="0.25">
      <c r="A636" t="s">
        <v>635</v>
      </c>
      <c r="B636" s="1">
        <v>45964</v>
      </c>
      <c r="C636">
        <f t="shared" si="11"/>
        <v>2025</v>
      </c>
      <c r="D636" t="str">
        <f t="shared" si="12"/>
        <v>November</v>
      </c>
      <c r="E636" t="str">
        <f t="shared" si="10"/>
        <v>Week1</v>
      </c>
      <c r="F636" t="s">
        <v>1037</v>
      </c>
      <c r="G636" t="s">
        <v>1199</v>
      </c>
      <c r="H636">
        <v>24000</v>
      </c>
      <c r="I636" t="s">
        <v>1027</v>
      </c>
      <c r="J636" t="s">
        <v>1030</v>
      </c>
      <c r="K636" t="s">
        <v>1031</v>
      </c>
    </row>
    <row r="637" spans="1:11" x14ac:dyDescent="0.25">
      <c r="A637" t="s">
        <v>636</v>
      </c>
      <c r="B637" s="1">
        <v>45964</v>
      </c>
      <c r="C637">
        <f t="shared" si="11"/>
        <v>2025</v>
      </c>
      <c r="D637" t="str">
        <f t="shared" si="12"/>
        <v>November</v>
      </c>
      <c r="E637" t="str">
        <f t="shared" si="10"/>
        <v>Week1</v>
      </c>
      <c r="F637" t="s">
        <v>1040</v>
      </c>
      <c r="G637" t="s">
        <v>1199</v>
      </c>
      <c r="H637">
        <v>24000</v>
      </c>
      <c r="I637" t="s">
        <v>1027</v>
      </c>
      <c r="J637" t="s">
        <v>1030</v>
      </c>
      <c r="K637" t="s">
        <v>1031</v>
      </c>
    </row>
    <row r="638" spans="1:11" x14ac:dyDescent="0.25">
      <c r="A638" t="s">
        <v>637</v>
      </c>
      <c r="B638" s="1">
        <v>45965</v>
      </c>
      <c r="C638">
        <f t="shared" si="11"/>
        <v>2025</v>
      </c>
      <c r="D638" t="str">
        <f t="shared" si="12"/>
        <v>November</v>
      </c>
      <c r="E638" t="str">
        <f t="shared" si="10"/>
        <v>Week1</v>
      </c>
      <c r="F638" t="s">
        <v>1185</v>
      </c>
      <c r="G638" t="s">
        <v>1198</v>
      </c>
      <c r="H638">
        <v>3500</v>
      </c>
      <c r="I638" t="s">
        <v>1029</v>
      </c>
      <c r="J638" t="s">
        <v>1030</v>
      </c>
      <c r="K638" t="s">
        <v>1031</v>
      </c>
    </row>
    <row r="639" spans="1:11" x14ac:dyDescent="0.25">
      <c r="A639" t="s">
        <v>638</v>
      </c>
      <c r="B639" s="1">
        <v>45966</v>
      </c>
      <c r="C639">
        <f t="shared" si="11"/>
        <v>2025</v>
      </c>
      <c r="D639" t="str">
        <f t="shared" si="12"/>
        <v>November</v>
      </c>
      <c r="E639" t="str">
        <f t="shared" si="10"/>
        <v>Week1</v>
      </c>
      <c r="F639" t="s">
        <v>1025</v>
      </c>
      <c r="G639" t="s">
        <v>1014</v>
      </c>
      <c r="H639">
        <v>5000</v>
      </c>
      <c r="I639" t="s">
        <v>1027</v>
      </c>
      <c r="J639" t="s">
        <v>1030</v>
      </c>
      <c r="K639" t="s">
        <v>1031</v>
      </c>
    </row>
    <row r="640" spans="1:11" x14ac:dyDescent="0.25">
      <c r="A640" t="s">
        <v>639</v>
      </c>
      <c r="B640" s="1">
        <v>45971</v>
      </c>
      <c r="C640">
        <f t="shared" si="11"/>
        <v>2025</v>
      </c>
      <c r="D640" t="str">
        <f t="shared" si="12"/>
        <v>November</v>
      </c>
      <c r="E640" t="str">
        <f t="shared" si="10"/>
        <v>Week2</v>
      </c>
      <c r="F640" t="s">
        <v>1035</v>
      </c>
      <c r="G640" t="s">
        <v>1197</v>
      </c>
      <c r="H640">
        <v>13000</v>
      </c>
      <c r="I640" t="s">
        <v>1027</v>
      </c>
      <c r="J640" t="s">
        <v>1030</v>
      </c>
      <c r="K640" t="s">
        <v>1031</v>
      </c>
    </row>
    <row r="641" spans="1:11" x14ac:dyDescent="0.25">
      <c r="A641" t="s">
        <v>640</v>
      </c>
      <c r="B641" s="1">
        <v>45972</v>
      </c>
      <c r="C641">
        <f t="shared" si="11"/>
        <v>2025</v>
      </c>
      <c r="D641" t="str">
        <f t="shared" si="12"/>
        <v>November</v>
      </c>
      <c r="E641" t="str">
        <f t="shared" si="10"/>
        <v>Week2</v>
      </c>
      <c r="F641" t="s">
        <v>1046</v>
      </c>
      <c r="G641" t="s">
        <v>1014</v>
      </c>
      <c r="H641">
        <v>6000</v>
      </c>
      <c r="I641" t="s">
        <v>1027</v>
      </c>
      <c r="J641" t="s">
        <v>1030</v>
      </c>
      <c r="K641" t="s">
        <v>1031</v>
      </c>
    </row>
    <row r="642" spans="1:11" x14ac:dyDescent="0.25">
      <c r="A642" t="s">
        <v>641</v>
      </c>
      <c r="B642" s="1">
        <v>45973</v>
      </c>
      <c r="C642">
        <f t="shared" si="11"/>
        <v>2025</v>
      </c>
      <c r="D642" t="str">
        <f t="shared" si="12"/>
        <v>November</v>
      </c>
      <c r="E642" t="str">
        <f t="shared" si="10"/>
        <v>Week2</v>
      </c>
      <c r="F642" t="s">
        <v>1035</v>
      </c>
      <c r="G642" t="s">
        <v>1197</v>
      </c>
      <c r="H642">
        <v>57600</v>
      </c>
      <c r="I642" t="s">
        <v>1027</v>
      </c>
      <c r="J642" t="s">
        <v>1030</v>
      </c>
      <c r="K642" t="s">
        <v>1031</v>
      </c>
    </row>
    <row r="643" spans="1:11" x14ac:dyDescent="0.25">
      <c r="A643" t="s">
        <v>642</v>
      </c>
      <c r="B643" s="1">
        <v>45979</v>
      </c>
      <c r="C643">
        <f t="shared" si="11"/>
        <v>2025</v>
      </c>
      <c r="D643" t="str">
        <f t="shared" si="12"/>
        <v>November</v>
      </c>
      <c r="E643" t="str">
        <f t="shared" si="10"/>
        <v>Week3</v>
      </c>
      <c r="F643" t="s">
        <v>1186</v>
      </c>
      <c r="G643" t="s">
        <v>1198</v>
      </c>
      <c r="H643">
        <v>7000</v>
      </c>
      <c r="I643" t="s">
        <v>1029</v>
      </c>
      <c r="J643" t="s">
        <v>1030</v>
      </c>
      <c r="K643" t="s">
        <v>1031</v>
      </c>
    </row>
    <row r="644" spans="1:11" x14ac:dyDescent="0.25">
      <c r="A644" t="s">
        <v>643</v>
      </c>
      <c r="B644" s="1">
        <v>45975</v>
      </c>
      <c r="C644">
        <f t="shared" si="11"/>
        <v>2025</v>
      </c>
      <c r="D644" t="str">
        <f t="shared" si="12"/>
        <v>November</v>
      </c>
      <c r="E644" t="str">
        <f t="shared" si="10"/>
        <v>Week2</v>
      </c>
      <c r="F644" t="s">
        <v>1025</v>
      </c>
      <c r="G644" t="s">
        <v>1014</v>
      </c>
      <c r="H644">
        <v>10000</v>
      </c>
      <c r="I644" t="s">
        <v>1027</v>
      </c>
      <c r="J644" t="s">
        <v>1030</v>
      </c>
      <c r="K644" t="s">
        <v>1031</v>
      </c>
    </row>
    <row r="645" spans="1:11" x14ac:dyDescent="0.25">
      <c r="A645" t="s">
        <v>644</v>
      </c>
      <c r="B645" s="1">
        <v>45978</v>
      </c>
      <c r="C645">
        <f t="shared" si="11"/>
        <v>2025</v>
      </c>
      <c r="D645" t="str">
        <f t="shared" si="12"/>
        <v>November</v>
      </c>
      <c r="E645" t="str">
        <f t="shared" si="10"/>
        <v>Week3</v>
      </c>
      <c r="F645" t="s">
        <v>1018</v>
      </c>
      <c r="G645" t="s">
        <v>1013</v>
      </c>
      <c r="H645">
        <v>15000</v>
      </c>
      <c r="I645" t="s">
        <v>1027</v>
      </c>
      <c r="J645" t="s">
        <v>1030</v>
      </c>
      <c r="K645" t="s">
        <v>1031</v>
      </c>
    </row>
    <row r="646" spans="1:11" x14ac:dyDescent="0.25">
      <c r="A646" t="s">
        <v>645</v>
      </c>
      <c r="B646" s="1">
        <v>45979</v>
      </c>
      <c r="C646">
        <f t="shared" si="11"/>
        <v>2025</v>
      </c>
      <c r="D646" t="str">
        <f t="shared" si="12"/>
        <v>November</v>
      </c>
      <c r="E646" t="str">
        <f t="shared" si="10"/>
        <v>Week3</v>
      </c>
      <c r="F646" t="s">
        <v>1018</v>
      </c>
      <c r="G646" t="s">
        <v>1013</v>
      </c>
      <c r="H646">
        <v>10000</v>
      </c>
      <c r="I646" t="s">
        <v>1027</v>
      </c>
      <c r="J646" t="s">
        <v>1030</v>
      </c>
      <c r="K646" t="s">
        <v>1031</v>
      </c>
    </row>
    <row r="647" spans="1:11" x14ac:dyDescent="0.25">
      <c r="A647" t="s">
        <v>646</v>
      </c>
      <c r="B647" s="1">
        <v>45980</v>
      </c>
      <c r="C647">
        <f t="shared" si="11"/>
        <v>2025</v>
      </c>
      <c r="D647" t="str">
        <f t="shared" si="12"/>
        <v>November</v>
      </c>
      <c r="E647" t="str">
        <f t="shared" si="10"/>
        <v>Week3</v>
      </c>
      <c r="F647" t="s">
        <v>1187</v>
      </c>
      <c r="G647" t="s">
        <v>1010</v>
      </c>
      <c r="H647">
        <v>10000</v>
      </c>
      <c r="I647" t="s">
        <v>1029</v>
      </c>
      <c r="J647" t="s">
        <v>1030</v>
      </c>
      <c r="K647" t="s">
        <v>1031</v>
      </c>
    </row>
    <row r="648" spans="1:11" x14ac:dyDescent="0.25">
      <c r="A648" t="s">
        <v>647</v>
      </c>
      <c r="B648" s="1">
        <v>45985</v>
      </c>
      <c r="C648">
        <f t="shared" si="11"/>
        <v>2025</v>
      </c>
      <c r="D648" t="str">
        <f t="shared" si="12"/>
        <v>November</v>
      </c>
      <c r="E648" t="str">
        <f t="shared" si="10"/>
        <v>Week4</v>
      </c>
      <c r="F648" t="s">
        <v>1035</v>
      </c>
      <c r="G648" t="s">
        <v>1197</v>
      </c>
      <c r="H648">
        <v>13000</v>
      </c>
      <c r="I648" t="s">
        <v>1027</v>
      </c>
      <c r="J648" t="s">
        <v>1030</v>
      </c>
      <c r="K648" t="s">
        <v>1031</v>
      </c>
    </row>
    <row r="649" spans="1:11" x14ac:dyDescent="0.25">
      <c r="A649" t="s">
        <v>648</v>
      </c>
      <c r="B649" s="1">
        <v>45985</v>
      </c>
      <c r="C649">
        <f t="shared" si="11"/>
        <v>2025</v>
      </c>
      <c r="D649" t="str">
        <f t="shared" si="12"/>
        <v>November</v>
      </c>
      <c r="E649" t="str">
        <f t="shared" si="10"/>
        <v>Week4</v>
      </c>
      <c r="F649" t="s">
        <v>1046</v>
      </c>
      <c r="G649" t="s">
        <v>1014</v>
      </c>
      <c r="H649">
        <v>6000</v>
      </c>
      <c r="I649" t="s">
        <v>1027</v>
      </c>
      <c r="J649" t="s">
        <v>1030</v>
      </c>
      <c r="K649" t="s">
        <v>1031</v>
      </c>
    </row>
    <row r="650" spans="1:11" x14ac:dyDescent="0.25">
      <c r="A650" t="s">
        <v>649</v>
      </c>
      <c r="B650" s="1">
        <v>45986</v>
      </c>
      <c r="C650">
        <f t="shared" si="11"/>
        <v>2025</v>
      </c>
      <c r="D650" t="str">
        <f t="shared" si="12"/>
        <v>November</v>
      </c>
      <c r="E650" t="str">
        <f t="shared" si="10"/>
        <v>Week4</v>
      </c>
      <c r="F650" t="s">
        <v>1188</v>
      </c>
      <c r="G650" t="s">
        <v>1198</v>
      </c>
      <c r="H650">
        <v>5000</v>
      </c>
      <c r="I650" t="s">
        <v>1029</v>
      </c>
      <c r="J650" t="s">
        <v>1030</v>
      </c>
      <c r="K650" t="s">
        <v>1031</v>
      </c>
    </row>
    <row r="651" spans="1:11" x14ac:dyDescent="0.25">
      <c r="A651" t="s">
        <v>650</v>
      </c>
      <c r="B651" s="1">
        <v>45987</v>
      </c>
      <c r="C651">
        <f t="shared" si="11"/>
        <v>2025</v>
      </c>
      <c r="D651" t="str">
        <f t="shared" si="12"/>
        <v>November</v>
      </c>
      <c r="E651" t="str">
        <f t="shared" si="10"/>
        <v>Week4</v>
      </c>
      <c r="F651" t="s">
        <v>1102</v>
      </c>
      <c r="G651" t="s">
        <v>1011</v>
      </c>
      <c r="H651">
        <v>22000</v>
      </c>
      <c r="I651" t="s">
        <v>1027</v>
      </c>
      <c r="J651" t="s">
        <v>1030</v>
      </c>
      <c r="K651" t="s">
        <v>1031</v>
      </c>
    </row>
    <row r="652" spans="1:11" x14ac:dyDescent="0.25">
      <c r="A652" t="s">
        <v>651</v>
      </c>
      <c r="B652" s="1">
        <v>45988</v>
      </c>
      <c r="C652">
        <f t="shared" si="11"/>
        <v>2025</v>
      </c>
      <c r="D652" t="str">
        <f t="shared" si="12"/>
        <v>November</v>
      </c>
      <c r="E652" t="str">
        <f t="shared" si="10"/>
        <v>Week4</v>
      </c>
      <c r="F652" t="s">
        <v>1025</v>
      </c>
      <c r="G652" t="s">
        <v>1014</v>
      </c>
      <c r="H652">
        <v>5000</v>
      </c>
      <c r="I652" t="s">
        <v>1027</v>
      </c>
      <c r="J652" t="s">
        <v>1030</v>
      </c>
      <c r="K652" t="s">
        <v>1031</v>
      </c>
    </row>
    <row r="653" spans="1:11" x14ac:dyDescent="0.25">
      <c r="A653" t="s">
        <v>652</v>
      </c>
      <c r="B653" s="1">
        <v>45988</v>
      </c>
      <c r="C653">
        <f t="shared" si="11"/>
        <v>2025</v>
      </c>
      <c r="D653" t="str">
        <f t="shared" si="12"/>
        <v>November</v>
      </c>
      <c r="E653" t="str">
        <f t="shared" si="10"/>
        <v>Week4</v>
      </c>
      <c r="F653" t="s">
        <v>1189</v>
      </c>
      <c r="G653" t="s">
        <v>1011</v>
      </c>
      <c r="H653">
        <v>25000</v>
      </c>
      <c r="I653" t="s">
        <v>1027</v>
      </c>
      <c r="J653" t="s">
        <v>1030</v>
      </c>
      <c r="K653" t="s">
        <v>1031</v>
      </c>
    </row>
    <row r="654" spans="1:11" x14ac:dyDescent="0.25">
      <c r="A654" t="s">
        <v>653</v>
      </c>
      <c r="B654" s="1">
        <v>45988</v>
      </c>
      <c r="C654">
        <f t="shared" si="11"/>
        <v>2025</v>
      </c>
      <c r="D654" t="str">
        <f t="shared" si="12"/>
        <v>November</v>
      </c>
      <c r="E654" t="str">
        <f t="shared" si="10"/>
        <v>Week4</v>
      </c>
      <c r="F654" t="s">
        <v>1190</v>
      </c>
      <c r="G654" t="s">
        <v>1014</v>
      </c>
      <c r="H654">
        <v>35000</v>
      </c>
      <c r="I654" t="s">
        <v>1028</v>
      </c>
      <c r="J654" t="s">
        <v>1030</v>
      </c>
      <c r="K654" t="s">
        <v>1031</v>
      </c>
    </row>
    <row r="655" spans="1:11" x14ac:dyDescent="0.25">
      <c r="A655" t="s">
        <v>654</v>
      </c>
      <c r="B655" s="1">
        <v>45989</v>
      </c>
      <c r="C655">
        <f t="shared" si="11"/>
        <v>2025</v>
      </c>
      <c r="D655" t="str">
        <f t="shared" si="12"/>
        <v>November</v>
      </c>
      <c r="E655" t="str">
        <f t="shared" si="10"/>
        <v>Week4</v>
      </c>
      <c r="F655" t="s">
        <v>1191</v>
      </c>
      <c r="G655" t="s">
        <v>1198</v>
      </c>
      <c r="H655">
        <v>50000</v>
      </c>
      <c r="I655" t="s">
        <v>1028</v>
      </c>
      <c r="J655" t="s">
        <v>1030</v>
      </c>
      <c r="K655" t="s">
        <v>1031</v>
      </c>
    </row>
    <row r="656" spans="1:11" x14ac:dyDescent="0.25">
      <c r="A656" t="s">
        <v>655</v>
      </c>
      <c r="B656" s="1">
        <v>45989</v>
      </c>
      <c r="C656">
        <f t="shared" si="11"/>
        <v>2025</v>
      </c>
      <c r="D656" t="str">
        <f t="shared" si="12"/>
        <v>November</v>
      </c>
      <c r="E656" t="str">
        <f t="shared" si="10"/>
        <v>Week4</v>
      </c>
      <c r="F656" t="s">
        <v>1192</v>
      </c>
      <c r="G656" t="s">
        <v>1015</v>
      </c>
      <c r="H656">
        <v>15000</v>
      </c>
      <c r="I656" t="s">
        <v>1027</v>
      </c>
      <c r="J656" t="s">
        <v>1030</v>
      </c>
      <c r="K656" t="s">
        <v>1031</v>
      </c>
    </row>
    <row r="657" spans="1:11" x14ac:dyDescent="0.25">
      <c r="A657" t="s">
        <v>656</v>
      </c>
      <c r="B657" s="1">
        <v>45990</v>
      </c>
      <c r="C657">
        <f t="shared" si="11"/>
        <v>2025</v>
      </c>
      <c r="D657" t="str">
        <f t="shared" si="12"/>
        <v>November</v>
      </c>
      <c r="E657" t="str">
        <f t="shared" si="10"/>
        <v>Week5</v>
      </c>
      <c r="F657" t="s">
        <v>1049</v>
      </c>
      <c r="G657" t="s">
        <v>1199</v>
      </c>
      <c r="H657">
        <v>20000</v>
      </c>
      <c r="I657" t="s">
        <v>1027</v>
      </c>
      <c r="J657" t="s">
        <v>1030</v>
      </c>
      <c r="K657" t="s">
        <v>1031</v>
      </c>
    </row>
    <row r="658" spans="1:11" x14ac:dyDescent="0.25">
      <c r="A658" t="s">
        <v>657</v>
      </c>
      <c r="B658" s="1">
        <v>45991</v>
      </c>
      <c r="C658">
        <f t="shared" si="11"/>
        <v>2025</v>
      </c>
      <c r="D658" t="str">
        <f t="shared" si="12"/>
        <v>November</v>
      </c>
      <c r="E658" t="str">
        <f t="shared" si="10"/>
        <v>Week5</v>
      </c>
      <c r="F658" t="s">
        <v>1018</v>
      </c>
      <c r="G658" t="s">
        <v>1013</v>
      </c>
      <c r="H658">
        <v>5000</v>
      </c>
      <c r="I658" t="s">
        <v>1027</v>
      </c>
      <c r="J658" t="s">
        <v>1030</v>
      </c>
      <c r="K658" t="s">
        <v>1031</v>
      </c>
    </row>
    <row r="659" spans="1:11" x14ac:dyDescent="0.25">
      <c r="A659" t="s">
        <v>658</v>
      </c>
      <c r="B659" s="1">
        <v>45989</v>
      </c>
      <c r="C659">
        <f t="shared" si="11"/>
        <v>2025</v>
      </c>
      <c r="D659" t="str">
        <f t="shared" si="12"/>
        <v>November</v>
      </c>
      <c r="E659" t="str">
        <f t="shared" si="10"/>
        <v>Week4</v>
      </c>
      <c r="F659" t="s">
        <v>1102</v>
      </c>
      <c r="G659" t="s">
        <v>1011</v>
      </c>
      <c r="H659">
        <v>22000</v>
      </c>
      <c r="I659" t="s">
        <v>1027</v>
      </c>
      <c r="J659" t="s">
        <v>1030</v>
      </c>
      <c r="K659" t="s">
        <v>1031</v>
      </c>
    </row>
    <row r="660" spans="1:11" x14ac:dyDescent="0.25">
      <c r="A660" t="s">
        <v>659</v>
      </c>
      <c r="B660" s="1">
        <v>45992</v>
      </c>
      <c r="C660">
        <f t="shared" si="11"/>
        <v>2025</v>
      </c>
      <c r="D660" t="str">
        <f t="shared" si="12"/>
        <v>December</v>
      </c>
      <c r="E660" t="str">
        <f t="shared" si="10"/>
        <v>Week1</v>
      </c>
      <c r="F660" t="s">
        <v>1189</v>
      </c>
      <c r="G660" t="s">
        <v>1011</v>
      </c>
      <c r="H660">
        <v>25000</v>
      </c>
      <c r="I660" t="s">
        <v>1027</v>
      </c>
      <c r="J660" t="s">
        <v>1030</v>
      </c>
      <c r="K660" t="s">
        <v>1031</v>
      </c>
    </row>
    <row r="661" spans="1:11" x14ac:dyDescent="0.25">
      <c r="A661" t="s">
        <v>660</v>
      </c>
      <c r="B661" s="1">
        <v>45992</v>
      </c>
      <c r="C661">
        <f t="shared" si="11"/>
        <v>2025</v>
      </c>
      <c r="D661" t="str">
        <f t="shared" si="12"/>
        <v>December</v>
      </c>
      <c r="E661" t="str">
        <f t="shared" si="10"/>
        <v>Week1</v>
      </c>
      <c r="F661" t="s">
        <v>1035</v>
      </c>
      <c r="G661" t="s">
        <v>1197</v>
      </c>
      <c r="H661">
        <v>13000</v>
      </c>
      <c r="I661" t="s">
        <v>1027</v>
      </c>
      <c r="J661" t="s">
        <v>1030</v>
      </c>
      <c r="K661" t="s">
        <v>1031</v>
      </c>
    </row>
    <row r="662" spans="1:11" x14ac:dyDescent="0.25">
      <c r="A662" t="s">
        <v>661</v>
      </c>
      <c r="B662" s="1">
        <v>45992</v>
      </c>
      <c r="C662">
        <f t="shared" si="11"/>
        <v>2025</v>
      </c>
      <c r="D662" t="str">
        <f t="shared" si="12"/>
        <v>December</v>
      </c>
      <c r="E662" t="str">
        <f t="shared" si="10"/>
        <v>Week1</v>
      </c>
      <c r="F662" t="s">
        <v>1037</v>
      </c>
      <c r="G662" t="s">
        <v>1199</v>
      </c>
      <c r="H662">
        <v>24000</v>
      </c>
      <c r="I662" t="s">
        <v>1027</v>
      </c>
      <c r="J662" t="s">
        <v>1030</v>
      </c>
      <c r="K662" t="s">
        <v>1031</v>
      </c>
    </row>
    <row r="663" spans="1:11" x14ac:dyDescent="0.25">
      <c r="A663" t="s">
        <v>662</v>
      </c>
      <c r="B663" s="1">
        <v>45992</v>
      </c>
      <c r="C663">
        <f t="shared" si="11"/>
        <v>2025</v>
      </c>
      <c r="D663" t="str">
        <f t="shared" si="12"/>
        <v>December</v>
      </c>
      <c r="E663" t="str">
        <f t="shared" si="10"/>
        <v>Week1</v>
      </c>
      <c r="F663" t="s">
        <v>1102</v>
      </c>
      <c r="G663" t="s">
        <v>1011</v>
      </c>
      <c r="H663">
        <v>22000</v>
      </c>
      <c r="I663" t="s">
        <v>1027</v>
      </c>
      <c r="J663" t="s">
        <v>1030</v>
      </c>
      <c r="K663" t="s">
        <v>1031</v>
      </c>
    </row>
    <row r="664" spans="1:11" x14ac:dyDescent="0.25">
      <c r="A664" t="s">
        <v>663</v>
      </c>
      <c r="B664" s="1">
        <v>45993</v>
      </c>
      <c r="C664">
        <f t="shared" si="11"/>
        <v>2025</v>
      </c>
      <c r="D664" t="str">
        <f t="shared" si="12"/>
        <v>December</v>
      </c>
      <c r="E664" t="str">
        <f t="shared" si="10"/>
        <v>Week1</v>
      </c>
      <c r="F664" t="s">
        <v>1040</v>
      </c>
      <c r="G664" t="s">
        <v>1199</v>
      </c>
      <c r="H664">
        <v>24000</v>
      </c>
      <c r="I664" t="s">
        <v>1027</v>
      </c>
      <c r="J664" t="s">
        <v>1030</v>
      </c>
      <c r="K664" t="s">
        <v>1031</v>
      </c>
    </row>
    <row r="665" spans="1:11" x14ac:dyDescent="0.25">
      <c r="A665" t="s">
        <v>664</v>
      </c>
      <c r="B665" s="1">
        <v>45994</v>
      </c>
      <c r="C665">
        <f t="shared" si="11"/>
        <v>2025</v>
      </c>
      <c r="D665" t="str">
        <f t="shared" si="12"/>
        <v>December</v>
      </c>
      <c r="E665" t="str">
        <f t="shared" si="10"/>
        <v>Week1</v>
      </c>
      <c r="F665" t="s">
        <v>1193</v>
      </c>
      <c r="G665" t="s">
        <v>1014</v>
      </c>
      <c r="H665">
        <v>120200</v>
      </c>
      <c r="I665" t="s">
        <v>1027</v>
      </c>
      <c r="J665" t="s">
        <v>1030</v>
      </c>
      <c r="K665" t="s">
        <v>1031</v>
      </c>
    </row>
    <row r="666" spans="1:11" x14ac:dyDescent="0.25">
      <c r="A666" t="s">
        <v>665</v>
      </c>
      <c r="B666" s="1">
        <v>45995</v>
      </c>
      <c r="C666">
        <f t="shared" si="11"/>
        <v>2025</v>
      </c>
      <c r="D666" t="str">
        <f t="shared" si="12"/>
        <v>December</v>
      </c>
      <c r="E666" t="str">
        <f t="shared" si="10"/>
        <v>Week1</v>
      </c>
      <c r="F666" t="s">
        <v>1194</v>
      </c>
      <c r="G666" t="s">
        <v>1012</v>
      </c>
      <c r="H666">
        <v>7000</v>
      </c>
      <c r="I666" t="s">
        <v>1027</v>
      </c>
      <c r="J666" t="s">
        <v>1030</v>
      </c>
      <c r="K666" t="s">
        <v>1031</v>
      </c>
    </row>
    <row r="667" spans="1:11" x14ac:dyDescent="0.25">
      <c r="A667" t="s">
        <v>666</v>
      </c>
      <c r="B667" s="1">
        <v>45995</v>
      </c>
      <c r="C667">
        <f t="shared" si="11"/>
        <v>2025</v>
      </c>
      <c r="D667" t="str">
        <f t="shared" si="12"/>
        <v>December</v>
      </c>
      <c r="E667" t="str">
        <f t="shared" si="10"/>
        <v>Week1</v>
      </c>
      <c r="F667" t="s">
        <v>1132</v>
      </c>
      <c r="G667" t="s">
        <v>1012</v>
      </c>
      <c r="H667">
        <v>9000</v>
      </c>
      <c r="I667" t="s">
        <v>1027</v>
      </c>
      <c r="J667" t="s">
        <v>1030</v>
      </c>
      <c r="K667" t="s">
        <v>1031</v>
      </c>
    </row>
    <row r="668" spans="1:11" x14ac:dyDescent="0.25">
      <c r="A668" t="s">
        <v>667</v>
      </c>
      <c r="B668" s="1">
        <v>45999</v>
      </c>
      <c r="C668">
        <f t="shared" si="11"/>
        <v>2025</v>
      </c>
      <c r="D668" t="str">
        <f t="shared" si="12"/>
        <v>December</v>
      </c>
      <c r="E668" t="str">
        <f t="shared" si="10"/>
        <v>Week2</v>
      </c>
      <c r="F668" t="s">
        <v>1035</v>
      </c>
      <c r="G668" t="s">
        <v>1197</v>
      </c>
      <c r="H668">
        <v>13000</v>
      </c>
      <c r="I668" t="s">
        <v>1027</v>
      </c>
      <c r="J668" t="s">
        <v>1030</v>
      </c>
      <c r="K668" t="s">
        <v>1031</v>
      </c>
    </row>
    <row r="669" spans="1:11" x14ac:dyDescent="0.25">
      <c r="A669" t="s">
        <v>668</v>
      </c>
      <c r="B669" s="1">
        <v>46000</v>
      </c>
      <c r="C669">
        <f t="shared" si="11"/>
        <v>2025</v>
      </c>
      <c r="D669" t="str">
        <f t="shared" si="12"/>
        <v>December</v>
      </c>
      <c r="E669" t="str">
        <f t="shared" si="10"/>
        <v>Week2</v>
      </c>
      <c r="F669" t="s">
        <v>1046</v>
      </c>
      <c r="G669" t="s">
        <v>1014</v>
      </c>
      <c r="H669">
        <v>6000</v>
      </c>
      <c r="I669" t="s">
        <v>1027</v>
      </c>
      <c r="J669" t="s">
        <v>1030</v>
      </c>
      <c r="K669" t="s">
        <v>1031</v>
      </c>
    </row>
    <row r="670" spans="1:11" x14ac:dyDescent="0.25">
      <c r="A670" t="s">
        <v>669</v>
      </c>
      <c r="B670" s="1">
        <v>46000</v>
      </c>
      <c r="C670">
        <f t="shared" si="11"/>
        <v>2025</v>
      </c>
      <c r="D670" t="str">
        <f t="shared" si="12"/>
        <v>December</v>
      </c>
      <c r="E670" t="str">
        <f t="shared" si="10"/>
        <v>Week2</v>
      </c>
      <c r="F670" t="s">
        <v>1018</v>
      </c>
      <c r="G670" t="s">
        <v>1013</v>
      </c>
      <c r="H670">
        <v>5000</v>
      </c>
      <c r="I670" t="s">
        <v>1027</v>
      </c>
      <c r="J670" t="s">
        <v>1030</v>
      </c>
      <c r="K670" t="s">
        <v>1031</v>
      </c>
    </row>
    <row r="671" spans="1:11" x14ac:dyDescent="0.25">
      <c r="A671" t="s">
        <v>670</v>
      </c>
      <c r="B671" s="1">
        <v>46001</v>
      </c>
      <c r="C671">
        <f t="shared" si="11"/>
        <v>2025</v>
      </c>
      <c r="D671" t="str">
        <f t="shared" si="12"/>
        <v>December</v>
      </c>
      <c r="E671" t="str">
        <f t="shared" si="10"/>
        <v>Week2</v>
      </c>
      <c r="F671" t="s">
        <v>1195</v>
      </c>
      <c r="G671" t="s">
        <v>1010</v>
      </c>
      <c r="H671">
        <v>15000</v>
      </c>
      <c r="I671" t="s">
        <v>1027</v>
      </c>
      <c r="J671" t="s">
        <v>1030</v>
      </c>
      <c r="K671" t="s">
        <v>1031</v>
      </c>
    </row>
    <row r="672" spans="1:11" x14ac:dyDescent="0.25">
      <c r="A672" t="s">
        <v>671</v>
      </c>
      <c r="B672" s="1">
        <v>46006</v>
      </c>
      <c r="C672">
        <f t="shared" si="11"/>
        <v>2025</v>
      </c>
      <c r="D672" t="str">
        <f t="shared" si="12"/>
        <v>December</v>
      </c>
      <c r="E672" t="str">
        <f t="shared" si="10"/>
        <v>Week3</v>
      </c>
      <c r="F672" t="s">
        <v>1035</v>
      </c>
      <c r="G672" t="s">
        <v>1197</v>
      </c>
      <c r="H672">
        <v>13000</v>
      </c>
      <c r="I672" t="s">
        <v>1027</v>
      </c>
      <c r="J672" t="s">
        <v>1030</v>
      </c>
      <c r="K672" t="s">
        <v>1031</v>
      </c>
    </row>
    <row r="673" spans="1:11" x14ac:dyDescent="0.25">
      <c r="A673" t="s">
        <v>672</v>
      </c>
      <c r="B673" s="1">
        <v>46006</v>
      </c>
      <c r="C673">
        <f t="shared" si="11"/>
        <v>2025</v>
      </c>
      <c r="D673" t="str">
        <f t="shared" si="12"/>
        <v>December</v>
      </c>
      <c r="E673" t="str">
        <f t="shared" si="10"/>
        <v>Week3</v>
      </c>
      <c r="F673" t="s">
        <v>1018</v>
      </c>
      <c r="G673" t="s">
        <v>1013</v>
      </c>
      <c r="H673">
        <v>4000</v>
      </c>
      <c r="I673" t="s">
        <v>1027</v>
      </c>
      <c r="J673" t="s">
        <v>1030</v>
      </c>
      <c r="K673" t="s">
        <v>1031</v>
      </c>
    </row>
    <row r="674" spans="1:11" x14ac:dyDescent="0.25">
      <c r="A674" t="s">
        <v>673</v>
      </c>
      <c r="B674" s="1">
        <v>46007</v>
      </c>
      <c r="C674">
        <f t="shared" si="11"/>
        <v>2025</v>
      </c>
      <c r="D674" t="str">
        <f t="shared" si="12"/>
        <v>December</v>
      </c>
      <c r="E674" t="str">
        <f t="shared" si="10"/>
        <v>Week3</v>
      </c>
      <c r="F674" t="s">
        <v>1165</v>
      </c>
      <c r="G674" t="s">
        <v>1198</v>
      </c>
      <c r="H674">
        <v>18000</v>
      </c>
      <c r="I674" t="s">
        <v>1028</v>
      </c>
      <c r="J674" t="s">
        <v>1030</v>
      </c>
      <c r="K674" t="s">
        <v>1031</v>
      </c>
    </row>
    <row r="675" spans="1:11" x14ac:dyDescent="0.25">
      <c r="A675" t="s">
        <v>674</v>
      </c>
      <c r="B675" s="1">
        <v>46009</v>
      </c>
      <c r="C675">
        <f t="shared" si="11"/>
        <v>2025</v>
      </c>
      <c r="D675" t="str">
        <f t="shared" si="12"/>
        <v>December</v>
      </c>
      <c r="E675" t="str">
        <f t="shared" si="10"/>
        <v>Week3</v>
      </c>
      <c r="F675" t="s">
        <v>1046</v>
      </c>
      <c r="G675" t="s">
        <v>1014</v>
      </c>
      <c r="H675">
        <v>4500</v>
      </c>
      <c r="I675" t="s">
        <v>1028</v>
      </c>
      <c r="J675" t="s">
        <v>1030</v>
      </c>
      <c r="K675" t="s">
        <v>1031</v>
      </c>
    </row>
    <row r="676" spans="1:11" x14ac:dyDescent="0.25">
      <c r="A676" t="s">
        <v>675</v>
      </c>
      <c r="B676" s="1">
        <v>46011</v>
      </c>
      <c r="C676">
        <f t="shared" si="11"/>
        <v>2025</v>
      </c>
      <c r="D676" t="str">
        <f t="shared" si="12"/>
        <v>December</v>
      </c>
      <c r="E676" t="str">
        <f t="shared" si="10"/>
        <v>Week3</v>
      </c>
      <c r="F676" t="s">
        <v>1102</v>
      </c>
      <c r="G676" t="s">
        <v>1011</v>
      </c>
      <c r="H676">
        <v>22000</v>
      </c>
      <c r="I676" t="s">
        <v>1028</v>
      </c>
      <c r="J676" t="s">
        <v>1030</v>
      </c>
      <c r="K676" t="s">
        <v>1031</v>
      </c>
    </row>
    <row r="677" spans="1:11" x14ac:dyDescent="0.25">
      <c r="A677" t="s">
        <v>676</v>
      </c>
      <c r="B677" s="1">
        <v>46013</v>
      </c>
      <c r="C677">
        <f t="shared" si="11"/>
        <v>2025</v>
      </c>
      <c r="D677" t="str">
        <f t="shared" si="12"/>
        <v>December</v>
      </c>
      <c r="E677" t="str">
        <f t="shared" si="10"/>
        <v>Week4</v>
      </c>
      <c r="F677" t="s">
        <v>1102</v>
      </c>
      <c r="G677" t="s">
        <v>1011</v>
      </c>
      <c r="H677">
        <v>22000</v>
      </c>
      <c r="I677" t="s">
        <v>1028</v>
      </c>
      <c r="J677" t="s">
        <v>1030</v>
      </c>
      <c r="K677" t="s">
        <v>1031</v>
      </c>
    </row>
    <row r="678" spans="1:11" x14ac:dyDescent="0.25">
      <c r="A678" t="s">
        <v>677</v>
      </c>
      <c r="B678" s="1">
        <v>46013</v>
      </c>
      <c r="C678">
        <f t="shared" si="11"/>
        <v>2025</v>
      </c>
      <c r="D678" t="str">
        <f t="shared" si="12"/>
        <v>December</v>
      </c>
      <c r="E678" t="str">
        <f t="shared" si="10"/>
        <v>Week4</v>
      </c>
      <c r="F678" t="s">
        <v>1196</v>
      </c>
      <c r="G678" t="s">
        <v>1010</v>
      </c>
      <c r="H678">
        <v>12000</v>
      </c>
      <c r="I678" t="s">
        <v>1028</v>
      </c>
      <c r="J678" t="s">
        <v>1030</v>
      </c>
      <c r="K678" t="s">
        <v>1031</v>
      </c>
    </row>
    <row r="679" spans="1:11" x14ac:dyDescent="0.25">
      <c r="A679" t="s">
        <v>678</v>
      </c>
      <c r="B679" s="1">
        <v>46015</v>
      </c>
      <c r="C679">
        <f t="shared" si="11"/>
        <v>2025</v>
      </c>
      <c r="D679" t="str">
        <f t="shared" si="12"/>
        <v>December</v>
      </c>
      <c r="E679" t="str">
        <f t="shared" si="10"/>
        <v>Week4</v>
      </c>
      <c r="F679" t="s">
        <v>1018</v>
      </c>
      <c r="G679" t="s">
        <v>1013</v>
      </c>
      <c r="H679">
        <v>4000</v>
      </c>
      <c r="I679" t="s">
        <v>1027</v>
      </c>
      <c r="J679" t="s">
        <v>1030</v>
      </c>
      <c r="K679" t="s">
        <v>1031</v>
      </c>
    </row>
    <row r="680" spans="1:11" x14ac:dyDescent="0.25">
      <c r="A680" t="s">
        <v>679</v>
      </c>
      <c r="B680" s="1">
        <v>46019</v>
      </c>
      <c r="C680">
        <f t="shared" si="11"/>
        <v>2025</v>
      </c>
      <c r="D680" t="str">
        <f t="shared" si="12"/>
        <v>December</v>
      </c>
      <c r="E680" t="str">
        <f t="shared" si="10"/>
        <v>Week4</v>
      </c>
      <c r="F680" t="s">
        <v>1018</v>
      </c>
      <c r="G680" t="s">
        <v>1013</v>
      </c>
      <c r="H680">
        <v>4000</v>
      </c>
      <c r="I680" t="s">
        <v>1027</v>
      </c>
      <c r="J680" t="s">
        <v>1030</v>
      </c>
      <c r="K680" t="s">
        <v>1031</v>
      </c>
    </row>
    <row r="681" spans="1:11" x14ac:dyDescent="0.25">
      <c r="A681" t="s">
        <v>680</v>
      </c>
      <c r="B681" s="1">
        <v>46019</v>
      </c>
      <c r="C681">
        <f t="shared" si="11"/>
        <v>2025</v>
      </c>
      <c r="D681" t="str">
        <f t="shared" si="12"/>
        <v>December</v>
      </c>
      <c r="E681" t="str">
        <f t="shared" si="10"/>
        <v>Week4</v>
      </c>
      <c r="F681" t="s">
        <v>1102</v>
      </c>
      <c r="G681" t="s">
        <v>1011</v>
      </c>
      <c r="H681">
        <v>22000</v>
      </c>
      <c r="I681" t="s">
        <v>1028</v>
      </c>
      <c r="J681" t="s">
        <v>1030</v>
      </c>
      <c r="K681" t="s">
        <v>1031</v>
      </c>
    </row>
    <row r="682" spans="1:11" x14ac:dyDescent="0.25">
      <c r="A682" t="s">
        <v>681</v>
      </c>
      <c r="B682" s="1">
        <v>46020</v>
      </c>
      <c r="C682">
        <f t="shared" si="11"/>
        <v>2025</v>
      </c>
      <c r="D682" t="str">
        <f t="shared" si="12"/>
        <v>December</v>
      </c>
      <c r="E682" t="str">
        <f t="shared" si="10"/>
        <v>Week5</v>
      </c>
      <c r="F682" t="s">
        <v>1049</v>
      </c>
      <c r="G682" t="s">
        <v>1199</v>
      </c>
      <c r="H682">
        <v>20000</v>
      </c>
      <c r="I682" t="s">
        <v>1027</v>
      </c>
      <c r="J682" t="s">
        <v>1030</v>
      </c>
      <c r="K682" t="s">
        <v>1031</v>
      </c>
    </row>
    <row r="683" spans="1:11" x14ac:dyDescent="0.25">
      <c r="A683" t="s">
        <v>682</v>
      </c>
      <c r="B683" s="1">
        <v>46020</v>
      </c>
      <c r="C683">
        <f t="shared" si="11"/>
        <v>2025</v>
      </c>
      <c r="D683" t="str">
        <f t="shared" si="12"/>
        <v>December</v>
      </c>
      <c r="E683" t="str">
        <f t="shared" ref="E683" si="13">"Week"&amp;ROUNDUP(DAY(B683)/7,0)</f>
        <v>Week5</v>
      </c>
      <c r="F683" t="s">
        <v>1025</v>
      </c>
      <c r="G683" t="s">
        <v>1014</v>
      </c>
      <c r="H683">
        <v>5000</v>
      </c>
      <c r="I683" t="s">
        <v>1027</v>
      </c>
      <c r="J683" t="s">
        <v>1030</v>
      </c>
      <c r="K683" t="s">
        <v>1031</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C979B7-37A7-4257-A02D-6E0304A8F5DE}">
          <x14:formula1>
            <xm:f>Lookup_List!$B:$B</xm:f>
          </x14:formula1>
          <xm:sqref>I1:I683</xm:sqref>
        </x14:dataValidation>
        <x14:dataValidation type="list" allowBlank="1" showInputMessage="1" showErrorMessage="1" xr:uid="{ED999E4F-AFBB-4756-A253-7D5CF0EBE18F}">
          <x14:formula1>
            <xm:f>Lookup_List!$A:$A</xm:f>
          </x14:formula1>
          <xm:sqref>G1:G683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789C2-8400-4B06-AA6C-008AFC180510}">
  <dimension ref="A1:K1001"/>
  <sheetViews>
    <sheetView zoomScale="112" zoomScaleNormal="112" workbookViewId="0">
      <selection sqref="A1:K683"/>
    </sheetView>
  </sheetViews>
  <sheetFormatPr defaultRowHeight="15" x14ac:dyDescent="0.25"/>
  <cols>
    <col min="1" max="1" width="14.7109375" customWidth="1"/>
    <col min="2" max="2" width="10.42578125" style="1" bestFit="1" customWidth="1"/>
    <col min="5" max="5" width="10.5703125" customWidth="1"/>
    <col min="6" max="6" width="36.140625" customWidth="1"/>
    <col min="7" max="7" width="20.7109375" customWidth="1"/>
    <col min="8" max="8" width="15.7109375" customWidth="1"/>
    <col min="9" max="9" width="17.5703125" customWidth="1"/>
    <col min="10" max="11" width="15.7109375" customWidth="1"/>
  </cols>
  <sheetData>
    <row r="1" spans="1:11" x14ac:dyDescent="0.25">
      <c r="A1" t="s">
        <v>0</v>
      </c>
      <c r="B1" s="1" t="s">
        <v>1001</v>
      </c>
      <c r="C1" t="s">
        <v>1002</v>
      </c>
      <c r="D1" t="s">
        <v>1003</v>
      </c>
      <c r="E1" t="s">
        <v>1004</v>
      </c>
      <c r="F1" t="s">
        <v>1005</v>
      </c>
      <c r="G1" t="s">
        <v>1006</v>
      </c>
      <c r="H1" t="s">
        <v>1007</v>
      </c>
      <c r="I1" t="s">
        <v>1008</v>
      </c>
      <c r="J1" t="s">
        <v>1009</v>
      </c>
      <c r="K1" t="s">
        <v>1016</v>
      </c>
    </row>
    <row r="2" spans="1:11" x14ac:dyDescent="0.25">
      <c r="A2" t="s">
        <v>1</v>
      </c>
      <c r="B2" s="1">
        <v>45296</v>
      </c>
      <c r="C2">
        <f>YEAR(B2)</f>
        <v>2024</v>
      </c>
      <c r="D2" t="str">
        <f>TEXT(B2,"mmmm")</f>
        <v>January</v>
      </c>
      <c r="E2" t="str">
        <f>"Week"&amp;ROUNDUP(DAY(B2)/7,0)</f>
        <v>Week1</v>
      </c>
      <c r="F2" t="s">
        <v>1017</v>
      </c>
      <c r="G2" t="s">
        <v>1014</v>
      </c>
      <c r="H2">
        <v>5000</v>
      </c>
      <c r="I2" t="s">
        <v>1027</v>
      </c>
      <c r="J2" t="s">
        <v>1030</v>
      </c>
      <c r="K2" t="s">
        <v>1031</v>
      </c>
    </row>
    <row r="3" spans="1:11" x14ac:dyDescent="0.25">
      <c r="A3" t="s">
        <v>2</v>
      </c>
      <c r="B3" s="1">
        <v>45303</v>
      </c>
      <c r="C3">
        <f t="shared" ref="C3:C71" si="0">YEAR(B3)</f>
        <v>2024</v>
      </c>
      <c r="D3" t="str">
        <f t="shared" ref="D3:D21" si="1">TEXT(B3,"mmmm")</f>
        <v>January</v>
      </c>
      <c r="E3" t="str">
        <f t="shared" ref="E3:E156" si="2">"Week"&amp;ROUNDUP(DAY(B3)/7,0)</f>
        <v>Week2</v>
      </c>
      <c r="F3" t="s">
        <v>1018</v>
      </c>
      <c r="G3" t="s">
        <v>1013</v>
      </c>
      <c r="H3">
        <v>1460</v>
      </c>
      <c r="I3" t="s">
        <v>1027</v>
      </c>
      <c r="J3" t="s">
        <v>1030</v>
      </c>
      <c r="K3" t="s">
        <v>1031</v>
      </c>
    </row>
    <row r="4" spans="1:11" x14ac:dyDescent="0.25">
      <c r="A4" t="s">
        <v>3</v>
      </c>
      <c r="B4" s="1">
        <v>45306</v>
      </c>
      <c r="C4">
        <f t="shared" si="0"/>
        <v>2024</v>
      </c>
      <c r="D4" t="str">
        <f t="shared" si="1"/>
        <v>January</v>
      </c>
      <c r="E4" t="str">
        <f t="shared" si="2"/>
        <v>Week3</v>
      </c>
      <c r="F4" t="s">
        <v>1019</v>
      </c>
      <c r="G4" t="s">
        <v>1197</v>
      </c>
      <c r="H4">
        <v>11000</v>
      </c>
      <c r="I4" t="s">
        <v>1027</v>
      </c>
      <c r="J4" t="s">
        <v>1030</v>
      </c>
      <c r="K4" t="s">
        <v>1031</v>
      </c>
    </row>
    <row r="5" spans="1:11" x14ac:dyDescent="0.25">
      <c r="A5" t="s">
        <v>4</v>
      </c>
      <c r="B5" s="1">
        <v>45313</v>
      </c>
      <c r="C5">
        <f t="shared" si="0"/>
        <v>2024</v>
      </c>
      <c r="D5" t="str">
        <f t="shared" si="1"/>
        <v>January</v>
      </c>
      <c r="E5" t="str">
        <f t="shared" si="2"/>
        <v>Week4</v>
      </c>
      <c r="F5" t="s">
        <v>1019</v>
      </c>
      <c r="G5" t="s">
        <v>1197</v>
      </c>
      <c r="H5">
        <v>11000</v>
      </c>
      <c r="I5" t="s">
        <v>1027</v>
      </c>
      <c r="J5" t="s">
        <v>1030</v>
      </c>
      <c r="K5" t="s">
        <v>1031</v>
      </c>
    </row>
    <row r="6" spans="1:11" x14ac:dyDescent="0.25">
      <c r="A6" t="s">
        <v>5</v>
      </c>
      <c r="B6" s="1">
        <v>45313</v>
      </c>
      <c r="C6">
        <f t="shared" si="0"/>
        <v>2024</v>
      </c>
      <c r="D6" t="str">
        <f t="shared" si="1"/>
        <v>January</v>
      </c>
      <c r="E6" t="str">
        <f t="shared" si="2"/>
        <v>Week4</v>
      </c>
      <c r="F6" t="s">
        <v>1020</v>
      </c>
      <c r="G6" t="s">
        <v>1011</v>
      </c>
      <c r="H6">
        <v>30000</v>
      </c>
      <c r="I6" t="s">
        <v>1028</v>
      </c>
      <c r="J6" t="s">
        <v>1030</v>
      </c>
      <c r="K6" t="s">
        <v>1031</v>
      </c>
    </row>
    <row r="7" spans="1:11" x14ac:dyDescent="0.25">
      <c r="A7" t="s">
        <v>6</v>
      </c>
      <c r="B7" s="1">
        <v>45315</v>
      </c>
      <c r="C7">
        <f t="shared" si="0"/>
        <v>2024</v>
      </c>
      <c r="D7" t="str">
        <f t="shared" si="1"/>
        <v>January</v>
      </c>
      <c r="E7" t="str">
        <f t="shared" si="2"/>
        <v>Week4</v>
      </c>
      <c r="F7" t="s">
        <v>1021</v>
      </c>
      <c r="G7" t="s">
        <v>1010</v>
      </c>
      <c r="H7">
        <v>3000</v>
      </c>
      <c r="I7" t="s">
        <v>1029</v>
      </c>
      <c r="J7" t="s">
        <v>1030</v>
      </c>
      <c r="K7" t="s">
        <v>1031</v>
      </c>
    </row>
    <row r="8" spans="1:11" x14ac:dyDescent="0.25">
      <c r="A8" t="s">
        <v>7</v>
      </c>
      <c r="B8" s="1">
        <v>45316</v>
      </c>
      <c r="C8">
        <f t="shared" si="0"/>
        <v>2024</v>
      </c>
      <c r="D8" t="str">
        <f t="shared" si="1"/>
        <v>January</v>
      </c>
      <c r="E8" t="str">
        <f t="shared" si="2"/>
        <v>Week4</v>
      </c>
      <c r="F8" t="s">
        <v>1022</v>
      </c>
      <c r="G8" t="s">
        <v>1014</v>
      </c>
      <c r="H8">
        <v>3300</v>
      </c>
      <c r="I8" t="s">
        <v>1028</v>
      </c>
      <c r="J8" t="s">
        <v>1030</v>
      </c>
      <c r="K8" t="s">
        <v>1031</v>
      </c>
    </row>
    <row r="9" spans="1:11" x14ac:dyDescent="0.25">
      <c r="A9" t="s">
        <v>8</v>
      </c>
      <c r="B9" s="1">
        <v>45316</v>
      </c>
      <c r="C9">
        <f t="shared" si="0"/>
        <v>2024</v>
      </c>
      <c r="D9" t="str">
        <f t="shared" si="1"/>
        <v>January</v>
      </c>
      <c r="E9" t="str">
        <f t="shared" si="2"/>
        <v>Week4</v>
      </c>
      <c r="F9" t="s">
        <v>1024</v>
      </c>
      <c r="G9" t="s">
        <v>1198</v>
      </c>
      <c r="H9">
        <v>14200</v>
      </c>
      <c r="I9" t="s">
        <v>1027</v>
      </c>
      <c r="J9" t="s">
        <v>1030</v>
      </c>
      <c r="K9" t="s">
        <v>1031</v>
      </c>
    </row>
    <row r="10" spans="1:11" x14ac:dyDescent="0.25">
      <c r="A10" t="s">
        <v>9</v>
      </c>
      <c r="B10" s="1">
        <v>45317</v>
      </c>
      <c r="C10">
        <f t="shared" si="0"/>
        <v>2024</v>
      </c>
      <c r="D10" t="str">
        <f t="shared" si="1"/>
        <v>January</v>
      </c>
      <c r="E10" t="str">
        <f t="shared" si="2"/>
        <v>Week4</v>
      </c>
      <c r="F10" t="s">
        <v>1023</v>
      </c>
      <c r="G10" t="s">
        <v>1201</v>
      </c>
      <c r="H10">
        <v>7000</v>
      </c>
      <c r="I10" t="s">
        <v>1027</v>
      </c>
      <c r="J10" t="s">
        <v>1030</v>
      </c>
      <c r="K10" t="s">
        <v>1031</v>
      </c>
    </row>
    <row r="11" spans="1:11" x14ac:dyDescent="0.25">
      <c r="A11" t="s">
        <v>10</v>
      </c>
      <c r="B11" s="1">
        <v>45317</v>
      </c>
      <c r="C11">
        <f t="shared" si="0"/>
        <v>2024</v>
      </c>
      <c r="D11" t="str">
        <f t="shared" si="1"/>
        <v>January</v>
      </c>
      <c r="E11" t="str">
        <f t="shared" si="2"/>
        <v>Week4</v>
      </c>
      <c r="F11" t="s">
        <v>1025</v>
      </c>
      <c r="G11" t="s">
        <v>1014</v>
      </c>
      <c r="H11">
        <v>5000</v>
      </c>
      <c r="I11" t="s">
        <v>1027</v>
      </c>
      <c r="J11" t="s">
        <v>1030</v>
      </c>
      <c r="K11" t="s">
        <v>1031</v>
      </c>
    </row>
    <row r="12" spans="1:11" x14ac:dyDescent="0.25">
      <c r="A12" t="s">
        <v>11</v>
      </c>
      <c r="B12" s="1">
        <v>45320</v>
      </c>
      <c r="C12">
        <f t="shared" si="0"/>
        <v>2024</v>
      </c>
      <c r="D12" t="str">
        <f t="shared" si="1"/>
        <v>January</v>
      </c>
      <c r="E12" t="str">
        <f t="shared" si="2"/>
        <v>Week5</v>
      </c>
      <c r="F12" t="s">
        <v>1026</v>
      </c>
      <c r="G12" t="s">
        <v>1197</v>
      </c>
      <c r="H12">
        <v>54000</v>
      </c>
      <c r="I12" t="s">
        <v>1027</v>
      </c>
      <c r="J12" t="s">
        <v>1030</v>
      </c>
      <c r="K12" t="s">
        <v>1031</v>
      </c>
    </row>
    <row r="13" spans="1:11" x14ac:dyDescent="0.25">
      <c r="A13" t="s">
        <v>12</v>
      </c>
      <c r="B13" s="1">
        <v>45320</v>
      </c>
      <c r="C13">
        <f t="shared" si="0"/>
        <v>2024</v>
      </c>
      <c r="D13" t="str">
        <f t="shared" si="1"/>
        <v>January</v>
      </c>
      <c r="E13" t="str">
        <f t="shared" si="2"/>
        <v>Week5</v>
      </c>
      <c r="F13" t="s">
        <v>1019</v>
      </c>
      <c r="G13" t="s">
        <v>1197</v>
      </c>
      <c r="H13">
        <v>11000</v>
      </c>
      <c r="I13" t="s">
        <v>1027</v>
      </c>
      <c r="J13" t="s">
        <v>1030</v>
      </c>
      <c r="K13" t="s">
        <v>1031</v>
      </c>
    </row>
    <row r="14" spans="1:11" x14ac:dyDescent="0.25">
      <c r="A14" t="s">
        <v>13</v>
      </c>
      <c r="B14" s="1">
        <v>45321</v>
      </c>
      <c r="C14">
        <f t="shared" si="0"/>
        <v>2024</v>
      </c>
      <c r="D14" t="str">
        <f t="shared" si="1"/>
        <v>January</v>
      </c>
      <c r="E14" t="str">
        <f t="shared" si="2"/>
        <v>Week5</v>
      </c>
      <c r="F14" t="s">
        <v>1020</v>
      </c>
      <c r="G14" t="s">
        <v>1011</v>
      </c>
      <c r="H14">
        <v>30000</v>
      </c>
      <c r="I14" t="s">
        <v>1028</v>
      </c>
      <c r="J14" t="s">
        <v>1030</v>
      </c>
      <c r="K14" t="s">
        <v>1031</v>
      </c>
    </row>
    <row r="15" spans="1:11" x14ac:dyDescent="0.25">
      <c r="A15" t="s">
        <v>14</v>
      </c>
      <c r="B15" s="1">
        <v>45323</v>
      </c>
      <c r="C15">
        <f t="shared" si="0"/>
        <v>2024</v>
      </c>
      <c r="D15" t="str">
        <f t="shared" si="1"/>
        <v>February</v>
      </c>
      <c r="E15" t="str">
        <f t="shared" si="2"/>
        <v>Week1</v>
      </c>
      <c r="F15" t="s">
        <v>1018</v>
      </c>
      <c r="G15" t="s">
        <v>1013</v>
      </c>
      <c r="H15">
        <v>5940</v>
      </c>
      <c r="I15" t="s">
        <v>1027</v>
      </c>
      <c r="J15" t="s">
        <v>1030</v>
      </c>
      <c r="K15" t="s">
        <v>1031</v>
      </c>
    </row>
    <row r="16" spans="1:11" x14ac:dyDescent="0.25">
      <c r="A16" t="s">
        <v>15</v>
      </c>
      <c r="B16" s="1">
        <v>45323</v>
      </c>
      <c r="C16">
        <f t="shared" si="0"/>
        <v>2024</v>
      </c>
      <c r="D16" t="str">
        <f t="shared" si="1"/>
        <v>February</v>
      </c>
      <c r="E16" t="str">
        <f t="shared" si="2"/>
        <v>Week1</v>
      </c>
      <c r="F16" t="s">
        <v>1032</v>
      </c>
      <c r="G16" t="s">
        <v>1014</v>
      </c>
      <c r="H16">
        <v>5000</v>
      </c>
      <c r="I16" t="s">
        <v>1027</v>
      </c>
      <c r="J16" t="s">
        <v>1030</v>
      </c>
      <c r="K16" t="s">
        <v>1031</v>
      </c>
    </row>
    <row r="17" spans="1:11" x14ac:dyDescent="0.25">
      <c r="A17" t="s">
        <v>16</v>
      </c>
      <c r="B17" s="1">
        <v>45324</v>
      </c>
      <c r="C17">
        <f t="shared" si="0"/>
        <v>2024</v>
      </c>
      <c r="D17" t="str">
        <f t="shared" si="1"/>
        <v>February</v>
      </c>
      <c r="E17" t="str">
        <f t="shared" si="2"/>
        <v>Week1</v>
      </c>
      <c r="F17" t="s">
        <v>1036</v>
      </c>
      <c r="G17" t="s">
        <v>1199</v>
      </c>
      <c r="H17">
        <v>18000</v>
      </c>
      <c r="I17" t="s">
        <v>1027</v>
      </c>
      <c r="J17" t="s">
        <v>1030</v>
      </c>
      <c r="K17" t="s">
        <v>1031</v>
      </c>
    </row>
    <row r="18" spans="1:11" x14ac:dyDescent="0.25">
      <c r="A18" t="s">
        <v>17</v>
      </c>
      <c r="B18" s="1">
        <v>45328</v>
      </c>
      <c r="C18">
        <f t="shared" si="0"/>
        <v>2024</v>
      </c>
      <c r="D18" t="str">
        <f t="shared" si="1"/>
        <v>February</v>
      </c>
      <c r="E18" t="str">
        <f t="shared" si="2"/>
        <v>Week1</v>
      </c>
      <c r="F18" t="s">
        <v>1033</v>
      </c>
      <c r="G18" t="s">
        <v>1014</v>
      </c>
      <c r="H18">
        <v>60840</v>
      </c>
      <c r="I18" t="s">
        <v>1028</v>
      </c>
      <c r="J18" t="s">
        <v>1030</v>
      </c>
      <c r="K18" t="s">
        <v>1031</v>
      </c>
    </row>
    <row r="19" spans="1:11" x14ac:dyDescent="0.25">
      <c r="A19" t="s">
        <v>18</v>
      </c>
      <c r="B19" s="1">
        <v>45329</v>
      </c>
      <c r="C19">
        <f t="shared" si="0"/>
        <v>2024</v>
      </c>
      <c r="D19" t="str">
        <f t="shared" si="1"/>
        <v>February</v>
      </c>
      <c r="E19" t="str">
        <f t="shared" si="2"/>
        <v>Week1</v>
      </c>
      <c r="F19" t="s">
        <v>1034</v>
      </c>
      <c r="G19" t="s">
        <v>1010</v>
      </c>
      <c r="H19">
        <v>2500</v>
      </c>
      <c r="I19" t="s">
        <v>1029</v>
      </c>
      <c r="J19" t="s">
        <v>1030</v>
      </c>
      <c r="K19" t="s">
        <v>1031</v>
      </c>
    </row>
    <row r="20" spans="1:11" x14ac:dyDescent="0.25">
      <c r="A20" t="s">
        <v>19</v>
      </c>
      <c r="B20" s="1">
        <v>45327</v>
      </c>
      <c r="C20">
        <f t="shared" si="0"/>
        <v>2024</v>
      </c>
      <c r="D20" t="str">
        <f t="shared" si="1"/>
        <v>February</v>
      </c>
      <c r="E20" t="str">
        <f t="shared" si="2"/>
        <v>Week1</v>
      </c>
      <c r="F20" t="s">
        <v>1035</v>
      </c>
      <c r="G20" t="s">
        <v>1197</v>
      </c>
      <c r="H20">
        <v>11000</v>
      </c>
      <c r="I20" t="s">
        <v>1027</v>
      </c>
      <c r="J20" t="s">
        <v>1030</v>
      </c>
      <c r="K20" t="s">
        <v>1031</v>
      </c>
    </row>
    <row r="21" spans="1:11" x14ac:dyDescent="0.25">
      <c r="A21" t="s">
        <v>20</v>
      </c>
      <c r="B21" s="1">
        <v>45330</v>
      </c>
      <c r="C21">
        <f t="shared" si="0"/>
        <v>2024</v>
      </c>
      <c r="D21" t="str">
        <f t="shared" si="1"/>
        <v>February</v>
      </c>
      <c r="E21" t="str">
        <f t="shared" si="2"/>
        <v>Week2</v>
      </c>
      <c r="F21" t="s">
        <v>1037</v>
      </c>
      <c r="G21" t="s">
        <v>1199</v>
      </c>
      <c r="H21">
        <v>20000</v>
      </c>
      <c r="I21" t="s">
        <v>1027</v>
      </c>
      <c r="J21" t="s">
        <v>1030</v>
      </c>
      <c r="K21" t="s">
        <v>1031</v>
      </c>
    </row>
    <row r="22" spans="1:11" x14ac:dyDescent="0.25">
      <c r="A22" t="s">
        <v>21</v>
      </c>
      <c r="B22" s="1">
        <v>45334</v>
      </c>
      <c r="C22">
        <f t="shared" si="0"/>
        <v>2024</v>
      </c>
      <c r="D22" t="str">
        <f t="shared" ref="D22:D276" si="3">TEXT(B22,"mmmm")</f>
        <v>February</v>
      </c>
      <c r="E22" t="str">
        <f t="shared" si="2"/>
        <v>Week2</v>
      </c>
      <c r="F22" t="s">
        <v>1035</v>
      </c>
      <c r="G22" t="s">
        <v>1197</v>
      </c>
      <c r="H22">
        <v>11000</v>
      </c>
      <c r="I22" t="s">
        <v>1027</v>
      </c>
      <c r="J22" t="s">
        <v>1030</v>
      </c>
      <c r="K22" t="s">
        <v>1031</v>
      </c>
    </row>
    <row r="23" spans="1:11" x14ac:dyDescent="0.25">
      <c r="A23" t="s">
        <v>22</v>
      </c>
      <c r="B23" s="1">
        <v>45334</v>
      </c>
      <c r="C23">
        <f t="shared" si="0"/>
        <v>2024</v>
      </c>
      <c r="D23" t="str">
        <f t="shared" si="3"/>
        <v>February</v>
      </c>
      <c r="E23" t="str">
        <f t="shared" si="2"/>
        <v>Week2</v>
      </c>
      <c r="F23" t="s">
        <v>1036</v>
      </c>
      <c r="G23" t="s">
        <v>1199</v>
      </c>
      <c r="H23">
        <v>20000</v>
      </c>
      <c r="I23" t="s">
        <v>1027</v>
      </c>
      <c r="J23" t="s">
        <v>1030</v>
      </c>
      <c r="K23" t="s">
        <v>1031</v>
      </c>
    </row>
    <row r="24" spans="1:11" x14ac:dyDescent="0.25">
      <c r="A24" t="s">
        <v>23</v>
      </c>
      <c r="B24" s="1">
        <v>45334</v>
      </c>
      <c r="C24">
        <f t="shared" si="0"/>
        <v>2024</v>
      </c>
      <c r="D24" t="str">
        <f t="shared" si="3"/>
        <v>February</v>
      </c>
      <c r="E24" t="str">
        <f t="shared" si="2"/>
        <v>Week2</v>
      </c>
      <c r="F24" t="s">
        <v>1018</v>
      </c>
      <c r="G24" t="s">
        <v>1013</v>
      </c>
      <c r="H24">
        <v>1970</v>
      </c>
      <c r="I24" t="s">
        <v>1027</v>
      </c>
      <c r="J24" t="s">
        <v>1030</v>
      </c>
      <c r="K24" t="s">
        <v>1031</v>
      </c>
    </row>
    <row r="25" spans="1:11" x14ac:dyDescent="0.25">
      <c r="A25" t="s">
        <v>24</v>
      </c>
      <c r="B25" s="1">
        <v>45334</v>
      </c>
      <c r="C25">
        <f t="shared" si="0"/>
        <v>2024</v>
      </c>
      <c r="D25" t="str">
        <f t="shared" si="3"/>
        <v>February</v>
      </c>
      <c r="E25" t="str">
        <f t="shared" si="2"/>
        <v>Week2</v>
      </c>
      <c r="F25" t="s">
        <v>1038</v>
      </c>
      <c r="G25" t="s">
        <v>1198</v>
      </c>
      <c r="H25">
        <v>12500</v>
      </c>
      <c r="I25" t="s">
        <v>1029</v>
      </c>
      <c r="J25" t="s">
        <v>1030</v>
      </c>
      <c r="K25" t="s">
        <v>1031</v>
      </c>
    </row>
    <row r="26" spans="1:11" x14ac:dyDescent="0.25">
      <c r="A26" t="s">
        <v>25</v>
      </c>
      <c r="B26" s="1">
        <v>45341</v>
      </c>
      <c r="C26">
        <f t="shared" si="0"/>
        <v>2024</v>
      </c>
      <c r="D26" t="str">
        <f t="shared" si="3"/>
        <v>February</v>
      </c>
      <c r="E26" t="str">
        <f t="shared" si="2"/>
        <v>Week3</v>
      </c>
      <c r="F26" t="s">
        <v>1035</v>
      </c>
      <c r="G26" t="s">
        <v>1197</v>
      </c>
      <c r="H26">
        <v>11000</v>
      </c>
      <c r="I26" t="s">
        <v>1027</v>
      </c>
      <c r="J26" t="s">
        <v>1030</v>
      </c>
      <c r="K26" t="s">
        <v>1031</v>
      </c>
    </row>
    <row r="27" spans="1:11" x14ac:dyDescent="0.25">
      <c r="A27" t="s">
        <v>26</v>
      </c>
      <c r="B27" s="1">
        <v>45341</v>
      </c>
      <c r="C27">
        <f t="shared" si="0"/>
        <v>2024</v>
      </c>
      <c r="D27" t="str">
        <f t="shared" si="3"/>
        <v>February</v>
      </c>
      <c r="E27" t="str">
        <f t="shared" si="2"/>
        <v>Week3</v>
      </c>
      <c r="F27" t="s">
        <v>1039</v>
      </c>
      <c r="G27" t="s">
        <v>1014</v>
      </c>
      <c r="H27">
        <v>3000</v>
      </c>
      <c r="I27" t="s">
        <v>1028</v>
      </c>
      <c r="J27" t="s">
        <v>1030</v>
      </c>
      <c r="K27" t="s">
        <v>1031</v>
      </c>
    </row>
    <row r="28" spans="1:11" x14ac:dyDescent="0.25">
      <c r="A28" t="s">
        <v>27</v>
      </c>
      <c r="B28" s="1">
        <v>45348</v>
      </c>
      <c r="C28">
        <f t="shared" si="0"/>
        <v>2024</v>
      </c>
      <c r="D28" t="str">
        <f t="shared" si="3"/>
        <v>February</v>
      </c>
      <c r="E28" t="str">
        <f t="shared" si="2"/>
        <v>Week4</v>
      </c>
      <c r="F28" t="s">
        <v>1035</v>
      </c>
      <c r="G28" t="s">
        <v>1197</v>
      </c>
      <c r="H28">
        <v>11000</v>
      </c>
      <c r="I28" t="s">
        <v>1027</v>
      </c>
      <c r="J28" t="s">
        <v>1030</v>
      </c>
      <c r="K28" t="s">
        <v>1031</v>
      </c>
    </row>
    <row r="29" spans="1:11" x14ac:dyDescent="0.25">
      <c r="A29" t="s">
        <v>28</v>
      </c>
      <c r="B29" s="1">
        <v>45348</v>
      </c>
      <c r="C29">
        <f t="shared" si="0"/>
        <v>2024</v>
      </c>
      <c r="D29" t="str">
        <f t="shared" si="3"/>
        <v>February</v>
      </c>
      <c r="E29" t="str">
        <f t="shared" si="2"/>
        <v>Week4</v>
      </c>
      <c r="F29" t="s">
        <v>1025</v>
      </c>
      <c r="G29" t="s">
        <v>1014</v>
      </c>
      <c r="H29">
        <v>5000</v>
      </c>
      <c r="I29" t="s">
        <v>1027</v>
      </c>
      <c r="J29" t="s">
        <v>1030</v>
      </c>
      <c r="K29" t="s">
        <v>1031</v>
      </c>
    </row>
    <row r="30" spans="1:11" x14ac:dyDescent="0.25">
      <c r="A30" t="s">
        <v>29</v>
      </c>
      <c r="B30" s="1">
        <v>45350</v>
      </c>
      <c r="C30">
        <f t="shared" si="0"/>
        <v>2024</v>
      </c>
      <c r="D30" t="str">
        <f t="shared" si="3"/>
        <v>February</v>
      </c>
      <c r="E30" t="str">
        <f t="shared" si="2"/>
        <v>Week4</v>
      </c>
      <c r="F30" t="s">
        <v>1020</v>
      </c>
      <c r="G30" t="s">
        <v>1011</v>
      </c>
      <c r="H30">
        <v>30000</v>
      </c>
      <c r="I30" t="s">
        <v>1028</v>
      </c>
      <c r="J30" t="s">
        <v>1030</v>
      </c>
      <c r="K30" t="s">
        <v>1031</v>
      </c>
    </row>
    <row r="31" spans="1:11" x14ac:dyDescent="0.25">
      <c r="A31" t="s">
        <v>30</v>
      </c>
      <c r="B31" s="1">
        <v>45351</v>
      </c>
      <c r="C31">
        <f t="shared" si="0"/>
        <v>2024</v>
      </c>
      <c r="D31" t="str">
        <f t="shared" si="3"/>
        <v>February</v>
      </c>
      <c r="E31" t="str">
        <f t="shared" si="2"/>
        <v>Week5</v>
      </c>
      <c r="F31" t="s">
        <v>1023</v>
      </c>
      <c r="G31" t="s">
        <v>1201</v>
      </c>
      <c r="H31">
        <v>7000</v>
      </c>
      <c r="I31" t="s">
        <v>1027</v>
      </c>
      <c r="J31" t="s">
        <v>1030</v>
      </c>
      <c r="K31" t="s">
        <v>1031</v>
      </c>
    </row>
    <row r="32" spans="1:11" x14ac:dyDescent="0.25">
      <c r="A32" t="s">
        <v>31</v>
      </c>
      <c r="B32" s="1">
        <v>45351</v>
      </c>
      <c r="C32">
        <f t="shared" si="0"/>
        <v>2024</v>
      </c>
      <c r="D32" t="str">
        <f t="shared" si="3"/>
        <v>February</v>
      </c>
      <c r="E32" t="str">
        <f t="shared" si="2"/>
        <v>Week5</v>
      </c>
      <c r="F32" t="s">
        <v>1071</v>
      </c>
      <c r="G32" t="s">
        <v>1012</v>
      </c>
      <c r="H32">
        <v>21000</v>
      </c>
      <c r="I32" t="s">
        <v>1028</v>
      </c>
      <c r="J32" t="s">
        <v>1030</v>
      </c>
      <c r="K32" t="s">
        <v>1031</v>
      </c>
    </row>
    <row r="33" spans="1:11" x14ac:dyDescent="0.25">
      <c r="A33" t="s">
        <v>32</v>
      </c>
      <c r="B33" s="1">
        <v>45352</v>
      </c>
      <c r="C33">
        <f t="shared" si="0"/>
        <v>2024</v>
      </c>
      <c r="D33" t="str">
        <f t="shared" si="3"/>
        <v>March</v>
      </c>
      <c r="E33" t="str">
        <f t="shared" si="2"/>
        <v>Week1</v>
      </c>
      <c r="F33" t="s">
        <v>1018</v>
      </c>
      <c r="G33" t="s">
        <v>1013</v>
      </c>
      <c r="H33">
        <v>7000</v>
      </c>
      <c r="I33" t="s">
        <v>1027</v>
      </c>
      <c r="J33" t="s">
        <v>1030</v>
      </c>
      <c r="K33" t="s">
        <v>1031</v>
      </c>
    </row>
    <row r="34" spans="1:11" x14ac:dyDescent="0.25">
      <c r="A34" t="s">
        <v>33</v>
      </c>
      <c r="B34" s="1">
        <v>45355</v>
      </c>
      <c r="C34">
        <f t="shared" si="0"/>
        <v>2024</v>
      </c>
      <c r="D34" t="str">
        <f t="shared" si="3"/>
        <v>March</v>
      </c>
      <c r="E34" t="str">
        <f t="shared" si="2"/>
        <v>Week1</v>
      </c>
      <c r="F34" t="s">
        <v>1035</v>
      </c>
      <c r="G34" t="s">
        <v>1197</v>
      </c>
      <c r="H34">
        <v>11000</v>
      </c>
      <c r="I34" t="s">
        <v>1027</v>
      </c>
      <c r="J34" t="s">
        <v>1030</v>
      </c>
      <c r="K34" t="s">
        <v>1031</v>
      </c>
    </row>
    <row r="35" spans="1:11" x14ac:dyDescent="0.25">
      <c r="A35" t="s">
        <v>34</v>
      </c>
      <c r="B35" s="1">
        <v>45355</v>
      </c>
      <c r="C35">
        <f t="shared" si="0"/>
        <v>2024</v>
      </c>
      <c r="D35" t="str">
        <f t="shared" si="3"/>
        <v>March</v>
      </c>
      <c r="E35" t="str">
        <f t="shared" si="2"/>
        <v>Week1</v>
      </c>
      <c r="F35" t="s">
        <v>1040</v>
      </c>
      <c r="G35" t="s">
        <v>1199</v>
      </c>
      <c r="H35">
        <v>18000</v>
      </c>
      <c r="I35" t="s">
        <v>1027</v>
      </c>
      <c r="J35" t="s">
        <v>1030</v>
      </c>
      <c r="K35" t="s">
        <v>1031</v>
      </c>
    </row>
    <row r="36" spans="1:11" x14ac:dyDescent="0.25">
      <c r="A36" t="s">
        <v>35</v>
      </c>
      <c r="B36" s="1">
        <v>45356</v>
      </c>
      <c r="C36">
        <f t="shared" si="0"/>
        <v>2024</v>
      </c>
      <c r="D36" t="str">
        <f t="shared" si="3"/>
        <v>March</v>
      </c>
      <c r="E36" t="str">
        <f t="shared" si="2"/>
        <v>Week1</v>
      </c>
      <c r="F36" t="s">
        <v>1037</v>
      </c>
      <c r="G36" t="s">
        <v>1199</v>
      </c>
      <c r="H36">
        <v>20000</v>
      </c>
      <c r="I36" t="s">
        <v>1027</v>
      </c>
      <c r="J36" t="s">
        <v>1030</v>
      </c>
      <c r="K36" t="s">
        <v>1031</v>
      </c>
    </row>
    <row r="37" spans="1:11" x14ac:dyDescent="0.25">
      <c r="A37" t="s">
        <v>36</v>
      </c>
      <c r="B37" s="1">
        <v>45355</v>
      </c>
      <c r="C37">
        <f t="shared" si="0"/>
        <v>2024</v>
      </c>
      <c r="D37" t="str">
        <f t="shared" si="3"/>
        <v>March</v>
      </c>
      <c r="E37" t="str">
        <f t="shared" si="2"/>
        <v>Week1</v>
      </c>
      <c r="F37" t="s">
        <v>1033</v>
      </c>
      <c r="G37" t="s">
        <v>1014</v>
      </c>
      <c r="H37">
        <v>64460</v>
      </c>
      <c r="I37" t="s">
        <v>1028</v>
      </c>
      <c r="J37" t="s">
        <v>1030</v>
      </c>
      <c r="K37" t="s">
        <v>1031</v>
      </c>
    </row>
    <row r="38" spans="1:11" x14ac:dyDescent="0.25">
      <c r="A38" t="s">
        <v>37</v>
      </c>
      <c r="B38" s="1">
        <v>45358</v>
      </c>
      <c r="C38">
        <f t="shared" si="0"/>
        <v>2024</v>
      </c>
      <c r="D38" t="str">
        <f t="shared" si="3"/>
        <v>March</v>
      </c>
      <c r="E38" t="str">
        <f t="shared" si="2"/>
        <v>Week1</v>
      </c>
      <c r="F38" t="s">
        <v>1020</v>
      </c>
      <c r="G38" t="s">
        <v>1011</v>
      </c>
      <c r="H38">
        <v>17500</v>
      </c>
      <c r="I38" t="s">
        <v>1028</v>
      </c>
      <c r="J38" t="s">
        <v>1030</v>
      </c>
      <c r="K38" t="s">
        <v>1031</v>
      </c>
    </row>
    <row r="39" spans="1:11" x14ac:dyDescent="0.25">
      <c r="A39" t="s">
        <v>38</v>
      </c>
      <c r="B39" s="1">
        <v>45358</v>
      </c>
      <c r="C39">
        <f t="shared" si="0"/>
        <v>2024</v>
      </c>
      <c r="D39" t="str">
        <f t="shared" si="3"/>
        <v>March</v>
      </c>
      <c r="E39" t="str">
        <f t="shared" si="2"/>
        <v>Week1</v>
      </c>
      <c r="F39" t="s">
        <v>1032</v>
      </c>
      <c r="G39" t="s">
        <v>1014</v>
      </c>
      <c r="H39">
        <v>5000</v>
      </c>
      <c r="I39" t="s">
        <v>1027</v>
      </c>
      <c r="J39" t="s">
        <v>1030</v>
      </c>
      <c r="K39" t="s">
        <v>1031</v>
      </c>
    </row>
    <row r="40" spans="1:11" x14ac:dyDescent="0.25">
      <c r="A40" t="s">
        <v>39</v>
      </c>
      <c r="B40" s="1">
        <v>45356</v>
      </c>
      <c r="C40">
        <f t="shared" si="0"/>
        <v>2024</v>
      </c>
      <c r="D40" t="str">
        <f t="shared" si="3"/>
        <v>March</v>
      </c>
      <c r="E40" t="str">
        <f t="shared" si="2"/>
        <v>Week1</v>
      </c>
      <c r="F40" t="s">
        <v>1020</v>
      </c>
      <c r="G40" t="s">
        <v>1011</v>
      </c>
      <c r="H40">
        <v>30000</v>
      </c>
      <c r="I40" t="s">
        <v>1028</v>
      </c>
      <c r="J40" t="s">
        <v>1030</v>
      </c>
      <c r="K40" t="s">
        <v>1031</v>
      </c>
    </row>
    <row r="41" spans="1:11" x14ac:dyDescent="0.25">
      <c r="A41" t="s">
        <v>40</v>
      </c>
      <c r="B41" s="1">
        <v>45362</v>
      </c>
      <c r="C41">
        <f t="shared" si="0"/>
        <v>2024</v>
      </c>
      <c r="D41" t="str">
        <f t="shared" si="3"/>
        <v>March</v>
      </c>
      <c r="E41" t="str">
        <f t="shared" si="2"/>
        <v>Week2</v>
      </c>
      <c r="F41" t="s">
        <v>1035</v>
      </c>
      <c r="G41" t="s">
        <v>1197</v>
      </c>
      <c r="H41">
        <v>11000</v>
      </c>
      <c r="I41" t="s">
        <v>1027</v>
      </c>
      <c r="J41" t="s">
        <v>1030</v>
      </c>
      <c r="K41" t="s">
        <v>1031</v>
      </c>
    </row>
    <row r="42" spans="1:11" x14ac:dyDescent="0.25">
      <c r="A42" t="s">
        <v>41</v>
      </c>
      <c r="B42" s="1">
        <v>45362</v>
      </c>
      <c r="C42">
        <f t="shared" si="0"/>
        <v>2024</v>
      </c>
      <c r="D42" t="str">
        <f t="shared" si="3"/>
        <v>March</v>
      </c>
      <c r="E42" t="str">
        <f t="shared" si="2"/>
        <v>Week2</v>
      </c>
      <c r="F42" t="s">
        <v>1041</v>
      </c>
      <c r="G42" t="s">
        <v>1010</v>
      </c>
      <c r="H42">
        <v>1700</v>
      </c>
      <c r="I42" t="s">
        <v>1027</v>
      </c>
      <c r="J42" t="s">
        <v>1030</v>
      </c>
      <c r="K42" t="s">
        <v>1031</v>
      </c>
    </row>
    <row r="43" spans="1:11" x14ac:dyDescent="0.25">
      <c r="A43" t="s">
        <v>42</v>
      </c>
      <c r="B43" s="1">
        <v>45362</v>
      </c>
      <c r="C43">
        <f t="shared" si="0"/>
        <v>2024</v>
      </c>
      <c r="D43" t="str">
        <f t="shared" si="3"/>
        <v>March</v>
      </c>
      <c r="E43" t="str">
        <f t="shared" si="2"/>
        <v>Week2</v>
      </c>
      <c r="F43" t="s">
        <v>1042</v>
      </c>
      <c r="G43" t="s">
        <v>1199</v>
      </c>
      <c r="H43">
        <v>20000</v>
      </c>
      <c r="I43" t="s">
        <v>1027</v>
      </c>
      <c r="J43" t="s">
        <v>1030</v>
      </c>
      <c r="K43" t="s">
        <v>1031</v>
      </c>
    </row>
    <row r="44" spans="1:11" x14ac:dyDescent="0.25">
      <c r="A44" t="s">
        <v>43</v>
      </c>
      <c r="B44" s="1">
        <v>45363</v>
      </c>
      <c r="C44">
        <f t="shared" si="0"/>
        <v>2024</v>
      </c>
      <c r="D44" t="str">
        <f t="shared" si="3"/>
        <v>March</v>
      </c>
      <c r="E44" t="str">
        <f t="shared" si="2"/>
        <v>Week2</v>
      </c>
      <c r="F44" t="s">
        <v>1043</v>
      </c>
      <c r="G44" t="s">
        <v>1010</v>
      </c>
      <c r="H44">
        <v>2000</v>
      </c>
      <c r="I44" t="s">
        <v>1029</v>
      </c>
      <c r="J44" t="s">
        <v>1030</v>
      </c>
      <c r="K44" t="s">
        <v>1031</v>
      </c>
    </row>
    <row r="45" spans="1:11" x14ac:dyDescent="0.25">
      <c r="A45" t="s">
        <v>44</v>
      </c>
      <c r="B45" s="1">
        <v>45363</v>
      </c>
      <c r="C45">
        <f t="shared" si="0"/>
        <v>2024</v>
      </c>
      <c r="D45" t="str">
        <f t="shared" si="3"/>
        <v>March</v>
      </c>
      <c r="E45" t="str">
        <f t="shared" si="2"/>
        <v>Week2</v>
      </c>
      <c r="F45" t="s">
        <v>1044</v>
      </c>
      <c r="G45" t="s">
        <v>1014</v>
      </c>
      <c r="H45">
        <v>6000</v>
      </c>
      <c r="I45" t="s">
        <v>1028</v>
      </c>
      <c r="J45" t="s">
        <v>1030</v>
      </c>
      <c r="K45" t="s">
        <v>1031</v>
      </c>
    </row>
    <row r="46" spans="1:11" x14ac:dyDescent="0.25">
      <c r="A46" t="s">
        <v>45</v>
      </c>
      <c r="B46" s="1">
        <v>45369</v>
      </c>
      <c r="C46">
        <f t="shared" si="0"/>
        <v>2024</v>
      </c>
      <c r="D46" t="str">
        <f t="shared" si="3"/>
        <v>March</v>
      </c>
      <c r="E46" t="str">
        <f t="shared" si="2"/>
        <v>Week3</v>
      </c>
      <c r="F46" t="s">
        <v>1035</v>
      </c>
      <c r="G46" t="s">
        <v>1197</v>
      </c>
      <c r="H46">
        <v>11000</v>
      </c>
      <c r="I46" t="s">
        <v>1027</v>
      </c>
      <c r="J46" t="s">
        <v>1030</v>
      </c>
      <c r="K46" t="s">
        <v>1031</v>
      </c>
    </row>
    <row r="47" spans="1:11" x14ac:dyDescent="0.25">
      <c r="A47" t="s">
        <v>46</v>
      </c>
      <c r="B47" s="1">
        <v>45369</v>
      </c>
      <c r="C47">
        <f t="shared" si="0"/>
        <v>2024</v>
      </c>
      <c r="D47" t="str">
        <f t="shared" si="3"/>
        <v>March</v>
      </c>
      <c r="E47" t="str">
        <f t="shared" si="2"/>
        <v>Week3</v>
      </c>
      <c r="F47" t="s">
        <v>1018</v>
      </c>
      <c r="G47" t="s">
        <v>1013</v>
      </c>
      <c r="H47">
        <v>2000</v>
      </c>
      <c r="I47" t="s">
        <v>1027</v>
      </c>
      <c r="J47" t="s">
        <v>1030</v>
      </c>
      <c r="K47" t="s">
        <v>1031</v>
      </c>
    </row>
    <row r="48" spans="1:11" x14ac:dyDescent="0.25">
      <c r="A48" t="s">
        <v>47</v>
      </c>
      <c r="B48" s="1">
        <v>45369</v>
      </c>
      <c r="C48">
        <f t="shared" si="0"/>
        <v>2024</v>
      </c>
      <c r="D48" t="str">
        <f t="shared" si="3"/>
        <v>March</v>
      </c>
      <c r="E48" t="str">
        <f t="shared" si="2"/>
        <v>Week3</v>
      </c>
      <c r="F48" t="s">
        <v>1026</v>
      </c>
      <c r="G48" t="s">
        <v>1197</v>
      </c>
      <c r="H48">
        <v>40500</v>
      </c>
      <c r="I48" t="s">
        <v>1027</v>
      </c>
      <c r="J48" t="s">
        <v>1030</v>
      </c>
      <c r="K48" t="s">
        <v>1031</v>
      </c>
    </row>
    <row r="49" spans="1:11" x14ac:dyDescent="0.25">
      <c r="A49" t="s">
        <v>48</v>
      </c>
      <c r="B49" s="1">
        <v>45371</v>
      </c>
      <c r="C49">
        <f t="shared" si="0"/>
        <v>2024</v>
      </c>
      <c r="D49" t="str">
        <f t="shared" si="3"/>
        <v>March</v>
      </c>
      <c r="E49" t="str">
        <f t="shared" si="2"/>
        <v>Week3</v>
      </c>
      <c r="F49" t="s">
        <v>1041</v>
      </c>
      <c r="G49" t="s">
        <v>1010</v>
      </c>
      <c r="H49">
        <v>1500</v>
      </c>
      <c r="I49" t="s">
        <v>1029</v>
      </c>
      <c r="J49" t="s">
        <v>1030</v>
      </c>
      <c r="K49" t="s">
        <v>1031</v>
      </c>
    </row>
    <row r="50" spans="1:11" x14ac:dyDescent="0.25">
      <c r="A50" t="s">
        <v>49</v>
      </c>
      <c r="B50" s="1">
        <v>45372</v>
      </c>
      <c r="C50">
        <f t="shared" si="0"/>
        <v>2024</v>
      </c>
      <c r="D50" t="str">
        <f t="shared" si="3"/>
        <v>March</v>
      </c>
      <c r="E50" t="str">
        <f t="shared" si="2"/>
        <v>Week3</v>
      </c>
      <c r="F50" t="s">
        <v>1046</v>
      </c>
      <c r="G50" t="s">
        <v>1014</v>
      </c>
      <c r="H50">
        <v>3600</v>
      </c>
      <c r="I50" t="s">
        <v>1028</v>
      </c>
      <c r="J50" t="s">
        <v>1030</v>
      </c>
      <c r="K50" t="s">
        <v>1031</v>
      </c>
    </row>
    <row r="51" spans="1:11" x14ac:dyDescent="0.25">
      <c r="A51" t="s">
        <v>50</v>
      </c>
      <c r="B51" s="1">
        <v>45373</v>
      </c>
      <c r="C51">
        <f t="shared" si="0"/>
        <v>2024</v>
      </c>
      <c r="D51" t="str">
        <f t="shared" si="3"/>
        <v>March</v>
      </c>
      <c r="E51" t="str">
        <f t="shared" si="2"/>
        <v>Week4</v>
      </c>
      <c r="F51" t="s">
        <v>1047</v>
      </c>
      <c r="G51" t="s">
        <v>1198</v>
      </c>
      <c r="H51">
        <v>5000</v>
      </c>
      <c r="I51" t="s">
        <v>1027</v>
      </c>
      <c r="J51" t="s">
        <v>1030</v>
      </c>
      <c r="K51" t="s">
        <v>1031</v>
      </c>
    </row>
    <row r="52" spans="1:11" x14ac:dyDescent="0.25">
      <c r="A52" t="s">
        <v>51</v>
      </c>
      <c r="B52" s="1">
        <v>45376</v>
      </c>
      <c r="C52">
        <f t="shared" si="0"/>
        <v>2024</v>
      </c>
      <c r="D52" t="str">
        <f t="shared" si="3"/>
        <v>March</v>
      </c>
      <c r="E52" t="str">
        <f t="shared" si="2"/>
        <v>Week4</v>
      </c>
      <c r="F52" t="s">
        <v>1035</v>
      </c>
      <c r="G52" t="s">
        <v>1197</v>
      </c>
      <c r="H52">
        <v>11000</v>
      </c>
      <c r="I52" t="s">
        <v>1027</v>
      </c>
      <c r="J52" t="s">
        <v>1030</v>
      </c>
      <c r="K52" t="s">
        <v>1031</v>
      </c>
    </row>
    <row r="53" spans="1:11" x14ac:dyDescent="0.25">
      <c r="A53" t="s">
        <v>52</v>
      </c>
      <c r="B53" s="1">
        <v>45376</v>
      </c>
      <c r="C53">
        <f t="shared" si="0"/>
        <v>2024</v>
      </c>
      <c r="D53" t="str">
        <f t="shared" si="3"/>
        <v>March</v>
      </c>
      <c r="E53" t="str">
        <f t="shared" si="2"/>
        <v>Week4</v>
      </c>
      <c r="F53" t="s">
        <v>1025</v>
      </c>
      <c r="G53" t="s">
        <v>1014</v>
      </c>
      <c r="H53">
        <v>5000</v>
      </c>
      <c r="I53" t="s">
        <v>1027</v>
      </c>
      <c r="J53" t="s">
        <v>1030</v>
      </c>
      <c r="K53" t="s">
        <v>1031</v>
      </c>
    </row>
    <row r="54" spans="1:11" x14ac:dyDescent="0.25">
      <c r="A54" t="s">
        <v>53</v>
      </c>
      <c r="B54" s="1">
        <v>45377</v>
      </c>
      <c r="C54">
        <f t="shared" si="0"/>
        <v>2024</v>
      </c>
      <c r="D54" t="str">
        <f t="shared" si="3"/>
        <v>March</v>
      </c>
      <c r="E54" t="str">
        <f t="shared" si="2"/>
        <v>Week4</v>
      </c>
      <c r="F54" t="s">
        <v>1048</v>
      </c>
      <c r="G54" t="s">
        <v>1198</v>
      </c>
      <c r="H54">
        <v>94000</v>
      </c>
      <c r="I54" t="s">
        <v>1028</v>
      </c>
      <c r="J54" t="s">
        <v>1030</v>
      </c>
      <c r="K54" t="s">
        <v>1031</v>
      </c>
    </row>
    <row r="55" spans="1:11" x14ac:dyDescent="0.25">
      <c r="A55" t="s">
        <v>54</v>
      </c>
      <c r="B55" s="1">
        <v>45379</v>
      </c>
      <c r="C55">
        <f t="shared" si="0"/>
        <v>2024</v>
      </c>
      <c r="D55" t="str">
        <f t="shared" si="3"/>
        <v>March</v>
      </c>
      <c r="E55" t="str">
        <f t="shared" si="2"/>
        <v>Week4</v>
      </c>
      <c r="F55" t="s">
        <v>1023</v>
      </c>
      <c r="G55" t="s">
        <v>1201</v>
      </c>
      <c r="H55">
        <v>7000</v>
      </c>
      <c r="I55" t="s">
        <v>1027</v>
      </c>
      <c r="J55" t="s">
        <v>1030</v>
      </c>
      <c r="K55" t="s">
        <v>1031</v>
      </c>
    </row>
    <row r="56" spans="1:11" x14ac:dyDescent="0.25">
      <c r="A56" t="s">
        <v>55</v>
      </c>
      <c r="B56" s="1">
        <v>45380</v>
      </c>
      <c r="C56">
        <f t="shared" si="0"/>
        <v>2024</v>
      </c>
      <c r="D56" t="str">
        <f t="shared" si="3"/>
        <v>March</v>
      </c>
      <c r="E56" t="str">
        <f t="shared" si="2"/>
        <v>Week5</v>
      </c>
      <c r="F56" t="s">
        <v>1018</v>
      </c>
      <c r="G56" t="s">
        <v>1013</v>
      </c>
      <c r="H56">
        <v>5000</v>
      </c>
      <c r="I56" t="s">
        <v>1027</v>
      </c>
      <c r="J56" t="s">
        <v>1030</v>
      </c>
      <c r="K56" t="s">
        <v>1031</v>
      </c>
    </row>
    <row r="57" spans="1:11" x14ac:dyDescent="0.25">
      <c r="A57" t="s">
        <v>56</v>
      </c>
      <c r="B57" s="1">
        <v>45384</v>
      </c>
      <c r="C57">
        <f t="shared" si="0"/>
        <v>2024</v>
      </c>
      <c r="D57" t="str">
        <f t="shared" si="3"/>
        <v>April</v>
      </c>
      <c r="E57" t="str">
        <f t="shared" si="2"/>
        <v>Week1</v>
      </c>
      <c r="F57" t="s">
        <v>1049</v>
      </c>
      <c r="G57" t="s">
        <v>1199</v>
      </c>
      <c r="H57">
        <v>20000</v>
      </c>
      <c r="I57" t="s">
        <v>1027</v>
      </c>
      <c r="J57" t="s">
        <v>1030</v>
      </c>
      <c r="K57" t="s">
        <v>1031</v>
      </c>
    </row>
    <row r="58" spans="1:11" x14ac:dyDescent="0.25">
      <c r="A58" t="s">
        <v>57</v>
      </c>
      <c r="B58" s="1">
        <v>45384</v>
      </c>
      <c r="C58">
        <f t="shared" si="0"/>
        <v>2024</v>
      </c>
      <c r="D58" t="str">
        <f t="shared" si="3"/>
        <v>April</v>
      </c>
      <c r="E58" t="str">
        <f t="shared" si="2"/>
        <v>Week1</v>
      </c>
      <c r="F58" t="s">
        <v>1032</v>
      </c>
      <c r="G58" t="s">
        <v>1014</v>
      </c>
      <c r="H58">
        <v>5000</v>
      </c>
      <c r="I58" t="s">
        <v>1027</v>
      </c>
      <c r="J58" t="s">
        <v>1030</v>
      </c>
      <c r="K58" t="s">
        <v>1031</v>
      </c>
    </row>
    <row r="59" spans="1:11" x14ac:dyDescent="0.25">
      <c r="A59" t="s">
        <v>58</v>
      </c>
      <c r="B59" s="1">
        <v>45384</v>
      </c>
      <c r="C59">
        <f t="shared" si="0"/>
        <v>2024</v>
      </c>
      <c r="D59" t="str">
        <f t="shared" si="3"/>
        <v>April</v>
      </c>
      <c r="E59" t="str">
        <f t="shared" si="2"/>
        <v>Week1</v>
      </c>
      <c r="F59" t="s">
        <v>1050</v>
      </c>
      <c r="G59" t="s">
        <v>1198</v>
      </c>
      <c r="H59">
        <v>2000</v>
      </c>
      <c r="I59" t="s">
        <v>1027</v>
      </c>
      <c r="J59" t="s">
        <v>1030</v>
      </c>
      <c r="K59" t="s">
        <v>1031</v>
      </c>
    </row>
    <row r="60" spans="1:11" x14ac:dyDescent="0.25">
      <c r="A60" t="s">
        <v>59</v>
      </c>
      <c r="B60" s="1">
        <v>45384</v>
      </c>
      <c r="C60">
        <f t="shared" si="0"/>
        <v>2024</v>
      </c>
      <c r="D60" t="str">
        <f t="shared" si="3"/>
        <v>April</v>
      </c>
      <c r="E60" t="str">
        <f t="shared" si="2"/>
        <v>Week1</v>
      </c>
      <c r="F60" t="s">
        <v>1019</v>
      </c>
      <c r="G60" t="s">
        <v>1197</v>
      </c>
      <c r="H60">
        <v>11000</v>
      </c>
      <c r="I60" t="s">
        <v>1027</v>
      </c>
      <c r="J60" t="s">
        <v>1030</v>
      </c>
      <c r="K60" t="s">
        <v>1031</v>
      </c>
    </row>
    <row r="61" spans="1:11" x14ac:dyDescent="0.25">
      <c r="A61" t="s">
        <v>60</v>
      </c>
      <c r="B61" s="1">
        <v>45385</v>
      </c>
      <c r="C61">
        <f t="shared" si="0"/>
        <v>2024</v>
      </c>
      <c r="D61" t="str">
        <f t="shared" si="3"/>
        <v>April</v>
      </c>
      <c r="E61" t="str">
        <f t="shared" si="2"/>
        <v>Week1</v>
      </c>
      <c r="F61" t="s">
        <v>1037</v>
      </c>
      <c r="G61" t="s">
        <v>1199</v>
      </c>
      <c r="H61">
        <v>18000</v>
      </c>
      <c r="I61" t="s">
        <v>1027</v>
      </c>
      <c r="J61" t="s">
        <v>1030</v>
      </c>
      <c r="K61" t="s">
        <v>1031</v>
      </c>
    </row>
    <row r="62" spans="1:11" x14ac:dyDescent="0.25">
      <c r="A62" t="s">
        <v>61</v>
      </c>
      <c r="B62" s="1">
        <v>45385</v>
      </c>
      <c r="C62">
        <f t="shared" si="0"/>
        <v>2024</v>
      </c>
      <c r="D62" t="str">
        <f t="shared" si="3"/>
        <v>April</v>
      </c>
      <c r="E62" t="str">
        <f t="shared" si="2"/>
        <v>Week1</v>
      </c>
      <c r="F62" t="s">
        <v>1018</v>
      </c>
      <c r="G62" t="s">
        <v>1013</v>
      </c>
      <c r="H62">
        <v>2000</v>
      </c>
      <c r="I62" t="s">
        <v>1027</v>
      </c>
      <c r="J62" t="s">
        <v>1030</v>
      </c>
      <c r="K62" t="s">
        <v>1031</v>
      </c>
    </row>
    <row r="63" spans="1:11" x14ac:dyDescent="0.25">
      <c r="A63" t="s">
        <v>62</v>
      </c>
      <c r="B63" s="1">
        <v>45386</v>
      </c>
      <c r="C63">
        <f t="shared" si="0"/>
        <v>2024</v>
      </c>
      <c r="D63" t="str">
        <f t="shared" si="3"/>
        <v>April</v>
      </c>
      <c r="E63" t="str">
        <f t="shared" si="2"/>
        <v>Week1</v>
      </c>
      <c r="F63" t="s">
        <v>1033</v>
      </c>
      <c r="G63" t="s">
        <v>1014</v>
      </c>
      <c r="H63">
        <v>72320</v>
      </c>
      <c r="I63" t="s">
        <v>1028</v>
      </c>
      <c r="J63" t="s">
        <v>1030</v>
      </c>
      <c r="K63" t="s">
        <v>1031</v>
      </c>
    </row>
    <row r="64" spans="1:11" x14ac:dyDescent="0.25">
      <c r="A64" t="s">
        <v>63</v>
      </c>
      <c r="B64" s="1">
        <v>45387</v>
      </c>
      <c r="C64">
        <f t="shared" si="0"/>
        <v>2024</v>
      </c>
      <c r="D64" t="str">
        <f t="shared" si="3"/>
        <v>April</v>
      </c>
      <c r="E64" t="str">
        <f t="shared" si="2"/>
        <v>Week1</v>
      </c>
      <c r="F64" t="s">
        <v>1051</v>
      </c>
      <c r="G64" t="s">
        <v>1198</v>
      </c>
      <c r="H64">
        <v>25000</v>
      </c>
      <c r="I64" t="s">
        <v>1027</v>
      </c>
      <c r="J64" t="s">
        <v>1030</v>
      </c>
      <c r="K64" t="s">
        <v>1031</v>
      </c>
    </row>
    <row r="65" spans="1:11" x14ac:dyDescent="0.25">
      <c r="A65" t="s">
        <v>64</v>
      </c>
      <c r="B65" s="1">
        <v>45390</v>
      </c>
      <c r="C65">
        <f t="shared" si="0"/>
        <v>2024</v>
      </c>
      <c r="D65" t="str">
        <f t="shared" si="3"/>
        <v>April</v>
      </c>
      <c r="E65" t="str">
        <f t="shared" si="2"/>
        <v>Week2</v>
      </c>
      <c r="F65" t="s">
        <v>1019</v>
      </c>
      <c r="G65" t="s">
        <v>1197</v>
      </c>
      <c r="H65">
        <v>11000</v>
      </c>
      <c r="I65" t="s">
        <v>1027</v>
      </c>
      <c r="J65" t="s">
        <v>1030</v>
      </c>
      <c r="K65" t="s">
        <v>1031</v>
      </c>
    </row>
    <row r="66" spans="1:11" x14ac:dyDescent="0.25">
      <c r="A66" t="s">
        <v>65</v>
      </c>
      <c r="B66" s="1">
        <v>45394</v>
      </c>
      <c r="C66">
        <f t="shared" si="0"/>
        <v>2024</v>
      </c>
      <c r="D66" t="str">
        <f t="shared" si="3"/>
        <v>April</v>
      </c>
      <c r="E66" t="str">
        <f t="shared" si="2"/>
        <v>Week2</v>
      </c>
      <c r="F66" t="s">
        <v>1052</v>
      </c>
      <c r="G66" t="s">
        <v>1198</v>
      </c>
      <c r="H66">
        <v>6000</v>
      </c>
      <c r="I66" t="s">
        <v>1029</v>
      </c>
      <c r="J66" t="s">
        <v>1030</v>
      </c>
      <c r="K66" t="s">
        <v>1031</v>
      </c>
    </row>
    <row r="67" spans="1:11" x14ac:dyDescent="0.25">
      <c r="A67" t="s">
        <v>66</v>
      </c>
      <c r="B67" s="1">
        <v>45397</v>
      </c>
      <c r="C67">
        <f t="shared" si="0"/>
        <v>2024</v>
      </c>
      <c r="D67" t="str">
        <f t="shared" si="3"/>
        <v>April</v>
      </c>
      <c r="E67" t="str">
        <f t="shared" si="2"/>
        <v>Week3</v>
      </c>
      <c r="F67" t="s">
        <v>1019</v>
      </c>
      <c r="G67" t="s">
        <v>1197</v>
      </c>
      <c r="H67">
        <v>11000</v>
      </c>
      <c r="I67" t="s">
        <v>1027</v>
      </c>
      <c r="J67" t="s">
        <v>1030</v>
      </c>
      <c r="K67" t="s">
        <v>1031</v>
      </c>
    </row>
    <row r="68" spans="1:11" x14ac:dyDescent="0.25">
      <c r="A68" t="s">
        <v>67</v>
      </c>
      <c r="B68" s="1">
        <v>45397</v>
      </c>
      <c r="C68">
        <f t="shared" si="0"/>
        <v>2024</v>
      </c>
      <c r="D68" t="str">
        <f t="shared" si="3"/>
        <v>April</v>
      </c>
      <c r="E68" t="str">
        <f t="shared" si="2"/>
        <v>Week3</v>
      </c>
      <c r="F68" t="s">
        <v>1053</v>
      </c>
      <c r="G68" t="s">
        <v>1199</v>
      </c>
      <c r="H68">
        <v>20000</v>
      </c>
      <c r="I68" t="s">
        <v>1027</v>
      </c>
      <c r="J68" t="s">
        <v>1030</v>
      </c>
      <c r="K68" t="s">
        <v>1031</v>
      </c>
    </row>
    <row r="69" spans="1:11" x14ac:dyDescent="0.25">
      <c r="A69" t="s">
        <v>68</v>
      </c>
      <c r="B69" s="1">
        <v>45403</v>
      </c>
      <c r="C69">
        <f t="shared" si="0"/>
        <v>2024</v>
      </c>
      <c r="D69" t="str">
        <f t="shared" si="3"/>
        <v>April</v>
      </c>
      <c r="E69" t="str">
        <f t="shared" si="2"/>
        <v>Week3</v>
      </c>
      <c r="F69" t="s">
        <v>1018</v>
      </c>
      <c r="G69" t="s">
        <v>1013</v>
      </c>
      <c r="H69">
        <v>1000</v>
      </c>
      <c r="I69" t="s">
        <v>1027</v>
      </c>
      <c r="J69" t="s">
        <v>1030</v>
      </c>
      <c r="K69" t="s">
        <v>1031</v>
      </c>
    </row>
    <row r="70" spans="1:11" x14ac:dyDescent="0.25">
      <c r="A70" t="s">
        <v>69</v>
      </c>
      <c r="B70" s="1">
        <v>45404</v>
      </c>
      <c r="C70">
        <f t="shared" si="0"/>
        <v>2024</v>
      </c>
      <c r="D70" t="str">
        <f t="shared" si="3"/>
        <v>April</v>
      </c>
      <c r="E70" t="str">
        <f t="shared" si="2"/>
        <v>Week4</v>
      </c>
      <c r="F70" t="s">
        <v>1035</v>
      </c>
      <c r="G70" t="s">
        <v>1197</v>
      </c>
      <c r="H70">
        <v>11000</v>
      </c>
      <c r="I70" t="s">
        <v>1027</v>
      </c>
      <c r="J70" t="s">
        <v>1030</v>
      </c>
      <c r="K70" t="s">
        <v>1031</v>
      </c>
    </row>
    <row r="71" spans="1:11" x14ac:dyDescent="0.25">
      <c r="A71" t="s">
        <v>70</v>
      </c>
      <c r="B71" s="1">
        <v>45405</v>
      </c>
      <c r="C71">
        <f t="shared" si="0"/>
        <v>2024</v>
      </c>
      <c r="D71" t="str">
        <f t="shared" si="3"/>
        <v>April</v>
      </c>
      <c r="E71" t="str">
        <f t="shared" si="2"/>
        <v>Week4</v>
      </c>
      <c r="F71" t="s">
        <v>1054</v>
      </c>
      <c r="G71" t="s">
        <v>1010</v>
      </c>
      <c r="H71">
        <v>27483</v>
      </c>
      <c r="I71" t="s">
        <v>1028</v>
      </c>
      <c r="J71" t="s">
        <v>1030</v>
      </c>
      <c r="K71" t="s">
        <v>1031</v>
      </c>
    </row>
    <row r="72" spans="1:11" x14ac:dyDescent="0.25">
      <c r="A72" t="s">
        <v>71</v>
      </c>
      <c r="B72" s="1">
        <v>45406</v>
      </c>
      <c r="C72">
        <f t="shared" ref="C72:C103" si="4">YEAR(B72)</f>
        <v>2024</v>
      </c>
      <c r="D72" t="str">
        <f t="shared" si="3"/>
        <v>April</v>
      </c>
      <c r="E72" t="str">
        <f t="shared" si="2"/>
        <v>Week4</v>
      </c>
      <c r="F72" t="s">
        <v>1046</v>
      </c>
      <c r="G72" t="s">
        <v>1014</v>
      </c>
      <c r="H72">
        <v>3450</v>
      </c>
      <c r="I72" t="s">
        <v>1028</v>
      </c>
      <c r="J72" t="s">
        <v>1030</v>
      </c>
      <c r="K72" t="s">
        <v>1031</v>
      </c>
    </row>
    <row r="73" spans="1:11" x14ac:dyDescent="0.25">
      <c r="A73" t="s">
        <v>72</v>
      </c>
      <c r="B73" s="1">
        <v>45408</v>
      </c>
      <c r="C73">
        <f t="shared" si="4"/>
        <v>2024</v>
      </c>
      <c r="D73" t="str">
        <f t="shared" si="3"/>
        <v>April</v>
      </c>
      <c r="E73" t="str">
        <f t="shared" si="2"/>
        <v>Week4</v>
      </c>
      <c r="F73" t="s">
        <v>1055</v>
      </c>
      <c r="G73" t="s">
        <v>1197</v>
      </c>
      <c r="H73">
        <v>26600</v>
      </c>
      <c r="I73" t="s">
        <v>1027</v>
      </c>
      <c r="J73" t="s">
        <v>1030</v>
      </c>
      <c r="K73" t="s">
        <v>1031</v>
      </c>
    </row>
    <row r="74" spans="1:11" x14ac:dyDescent="0.25">
      <c r="A74" t="s">
        <v>73</v>
      </c>
      <c r="B74" s="1">
        <v>45411</v>
      </c>
      <c r="C74">
        <f t="shared" si="4"/>
        <v>2024</v>
      </c>
      <c r="D74" t="str">
        <f t="shared" si="3"/>
        <v>April</v>
      </c>
      <c r="E74" t="str">
        <f t="shared" si="2"/>
        <v>Week5</v>
      </c>
      <c r="F74" t="s">
        <v>1023</v>
      </c>
      <c r="G74" t="s">
        <v>1201</v>
      </c>
      <c r="H74">
        <v>7000</v>
      </c>
      <c r="I74" t="s">
        <v>1027</v>
      </c>
      <c r="J74" t="s">
        <v>1030</v>
      </c>
      <c r="K74" t="s">
        <v>1031</v>
      </c>
    </row>
    <row r="75" spans="1:11" x14ac:dyDescent="0.25">
      <c r="A75" t="s">
        <v>74</v>
      </c>
      <c r="B75" s="1">
        <v>45411</v>
      </c>
      <c r="C75">
        <f t="shared" si="4"/>
        <v>2024</v>
      </c>
      <c r="D75" t="str">
        <f t="shared" si="3"/>
        <v>April</v>
      </c>
      <c r="E75" t="str">
        <f t="shared" si="2"/>
        <v>Week5</v>
      </c>
      <c r="F75" t="s">
        <v>1025</v>
      </c>
      <c r="G75" t="s">
        <v>1014</v>
      </c>
      <c r="H75">
        <v>5000</v>
      </c>
      <c r="I75" t="s">
        <v>1027</v>
      </c>
      <c r="J75" t="s">
        <v>1030</v>
      </c>
      <c r="K75" t="s">
        <v>1031</v>
      </c>
    </row>
    <row r="76" spans="1:11" x14ac:dyDescent="0.25">
      <c r="A76" t="s">
        <v>75</v>
      </c>
      <c r="B76" s="1">
        <v>45411</v>
      </c>
      <c r="C76">
        <f t="shared" si="4"/>
        <v>2024</v>
      </c>
      <c r="D76" t="str">
        <f t="shared" si="3"/>
        <v>April</v>
      </c>
      <c r="E76" t="str">
        <f t="shared" si="2"/>
        <v>Week5</v>
      </c>
      <c r="F76" t="s">
        <v>1018</v>
      </c>
      <c r="G76" t="s">
        <v>1013</v>
      </c>
      <c r="H76">
        <v>5000</v>
      </c>
      <c r="I76" t="s">
        <v>1027</v>
      </c>
      <c r="J76" t="s">
        <v>1030</v>
      </c>
      <c r="K76" t="s">
        <v>1031</v>
      </c>
    </row>
    <row r="77" spans="1:11" x14ac:dyDescent="0.25">
      <c r="A77" t="s">
        <v>76</v>
      </c>
      <c r="B77" s="1">
        <v>45411</v>
      </c>
      <c r="C77">
        <f t="shared" si="4"/>
        <v>2024</v>
      </c>
      <c r="D77" t="str">
        <f t="shared" si="3"/>
        <v>April</v>
      </c>
      <c r="E77" t="str">
        <f t="shared" si="2"/>
        <v>Week5</v>
      </c>
      <c r="F77" t="s">
        <v>1019</v>
      </c>
      <c r="G77" t="s">
        <v>1197</v>
      </c>
      <c r="H77">
        <v>11000</v>
      </c>
      <c r="I77" t="s">
        <v>1027</v>
      </c>
      <c r="J77" t="s">
        <v>1030</v>
      </c>
      <c r="K77" t="s">
        <v>1031</v>
      </c>
    </row>
    <row r="78" spans="1:11" x14ac:dyDescent="0.25">
      <c r="A78" t="s">
        <v>77</v>
      </c>
      <c r="B78" s="1">
        <v>45411</v>
      </c>
      <c r="C78">
        <f t="shared" si="4"/>
        <v>2024</v>
      </c>
      <c r="D78" t="str">
        <f t="shared" si="3"/>
        <v>April</v>
      </c>
      <c r="E78" t="str">
        <f t="shared" si="2"/>
        <v>Week5</v>
      </c>
      <c r="F78" t="s">
        <v>1023</v>
      </c>
      <c r="G78" t="s">
        <v>1201</v>
      </c>
      <c r="H78">
        <v>7000</v>
      </c>
      <c r="I78" t="s">
        <v>1027</v>
      </c>
      <c r="J78" t="s">
        <v>1030</v>
      </c>
      <c r="K78" t="s">
        <v>1031</v>
      </c>
    </row>
    <row r="79" spans="1:11" x14ac:dyDescent="0.25">
      <c r="A79" t="s">
        <v>78</v>
      </c>
      <c r="B79" s="1">
        <v>45411</v>
      </c>
      <c r="C79">
        <f t="shared" si="4"/>
        <v>2024</v>
      </c>
      <c r="D79" t="str">
        <f t="shared" si="3"/>
        <v>April</v>
      </c>
      <c r="E79" t="str">
        <f t="shared" si="2"/>
        <v>Week5</v>
      </c>
      <c r="F79" t="s">
        <v>1025</v>
      </c>
      <c r="G79" t="s">
        <v>1014</v>
      </c>
      <c r="H79">
        <v>5000</v>
      </c>
      <c r="I79" t="s">
        <v>1027</v>
      </c>
      <c r="J79" t="s">
        <v>1030</v>
      </c>
      <c r="K79" t="s">
        <v>1031</v>
      </c>
    </row>
    <row r="80" spans="1:11" x14ac:dyDescent="0.25">
      <c r="A80" t="s">
        <v>79</v>
      </c>
      <c r="B80" s="1">
        <v>45411</v>
      </c>
      <c r="C80">
        <f t="shared" si="4"/>
        <v>2024</v>
      </c>
      <c r="D80" t="str">
        <f t="shared" si="3"/>
        <v>April</v>
      </c>
      <c r="E80" t="str">
        <f t="shared" si="2"/>
        <v>Week5</v>
      </c>
      <c r="F80" t="s">
        <v>1019</v>
      </c>
      <c r="G80" t="s">
        <v>1197</v>
      </c>
      <c r="H80">
        <v>11000</v>
      </c>
      <c r="I80" t="s">
        <v>1027</v>
      </c>
      <c r="J80" t="s">
        <v>1030</v>
      </c>
      <c r="K80" t="s">
        <v>1031</v>
      </c>
    </row>
    <row r="81" spans="1:11" x14ac:dyDescent="0.25">
      <c r="A81" t="s">
        <v>80</v>
      </c>
      <c r="B81" s="1">
        <v>45411</v>
      </c>
      <c r="C81">
        <f t="shared" si="4"/>
        <v>2024</v>
      </c>
      <c r="D81" t="str">
        <f t="shared" si="3"/>
        <v>April</v>
      </c>
      <c r="E81" t="str">
        <f t="shared" si="2"/>
        <v>Week5</v>
      </c>
      <c r="F81" t="s">
        <v>1018</v>
      </c>
      <c r="G81" t="s">
        <v>1013</v>
      </c>
      <c r="H81">
        <v>5000</v>
      </c>
      <c r="I81" t="s">
        <v>1027</v>
      </c>
      <c r="J81" t="s">
        <v>1030</v>
      </c>
      <c r="K81" t="s">
        <v>1031</v>
      </c>
    </row>
    <row r="82" spans="1:11" x14ac:dyDescent="0.25">
      <c r="A82" t="s">
        <v>81</v>
      </c>
      <c r="B82" s="1">
        <v>45414</v>
      </c>
      <c r="C82">
        <f t="shared" si="4"/>
        <v>2024</v>
      </c>
      <c r="D82" t="str">
        <f t="shared" si="3"/>
        <v>May</v>
      </c>
      <c r="E82" t="str">
        <f t="shared" si="2"/>
        <v>Week1</v>
      </c>
      <c r="F82" t="s">
        <v>1049</v>
      </c>
      <c r="G82" t="s">
        <v>1199</v>
      </c>
      <c r="H82">
        <v>18000</v>
      </c>
      <c r="I82" t="s">
        <v>1027</v>
      </c>
      <c r="J82" t="s">
        <v>1030</v>
      </c>
      <c r="K82" t="s">
        <v>1031</v>
      </c>
    </row>
    <row r="83" spans="1:11" x14ac:dyDescent="0.25">
      <c r="A83" t="s">
        <v>82</v>
      </c>
      <c r="B83" s="1">
        <v>45414</v>
      </c>
      <c r="C83">
        <f t="shared" si="4"/>
        <v>2024</v>
      </c>
      <c r="D83" t="str">
        <f t="shared" si="3"/>
        <v>May</v>
      </c>
      <c r="E83" t="str">
        <f t="shared" si="2"/>
        <v>Week1</v>
      </c>
      <c r="F83" t="s">
        <v>1033</v>
      </c>
      <c r="G83" t="s">
        <v>1014</v>
      </c>
      <c r="H83">
        <v>76030</v>
      </c>
      <c r="I83" t="s">
        <v>1027</v>
      </c>
      <c r="J83" t="s">
        <v>1030</v>
      </c>
      <c r="K83" t="s">
        <v>1031</v>
      </c>
    </row>
    <row r="84" spans="1:11" x14ac:dyDescent="0.25">
      <c r="A84" t="s">
        <v>83</v>
      </c>
      <c r="B84" s="1">
        <v>45418</v>
      </c>
      <c r="C84">
        <f t="shared" si="4"/>
        <v>2024</v>
      </c>
      <c r="D84" t="str">
        <f t="shared" si="3"/>
        <v>May</v>
      </c>
      <c r="E84" t="str">
        <f t="shared" si="2"/>
        <v>Week1</v>
      </c>
      <c r="F84" t="s">
        <v>1035</v>
      </c>
      <c r="G84" t="s">
        <v>1197</v>
      </c>
      <c r="H84">
        <v>11000</v>
      </c>
      <c r="I84" t="s">
        <v>1027</v>
      </c>
      <c r="J84" t="s">
        <v>1030</v>
      </c>
      <c r="K84" t="s">
        <v>1031</v>
      </c>
    </row>
    <row r="85" spans="1:11" x14ac:dyDescent="0.25">
      <c r="A85" t="s">
        <v>84</v>
      </c>
      <c r="B85" s="1">
        <v>45418</v>
      </c>
      <c r="C85">
        <f t="shared" si="4"/>
        <v>2024</v>
      </c>
      <c r="D85" t="str">
        <f t="shared" si="3"/>
        <v>May</v>
      </c>
      <c r="E85" t="str">
        <f t="shared" si="2"/>
        <v>Week1</v>
      </c>
      <c r="F85" t="s">
        <v>1056</v>
      </c>
      <c r="G85" t="s">
        <v>1198</v>
      </c>
      <c r="H85">
        <v>8000</v>
      </c>
      <c r="I85" t="s">
        <v>1029</v>
      </c>
      <c r="J85" t="s">
        <v>1030</v>
      </c>
      <c r="K85" t="s">
        <v>1031</v>
      </c>
    </row>
    <row r="86" spans="1:11" x14ac:dyDescent="0.25">
      <c r="A86" t="s">
        <v>85</v>
      </c>
      <c r="B86" s="1">
        <v>45419</v>
      </c>
      <c r="C86">
        <f t="shared" si="4"/>
        <v>2024</v>
      </c>
      <c r="D86" t="str">
        <f t="shared" si="3"/>
        <v>May</v>
      </c>
      <c r="E86" t="str">
        <f t="shared" si="2"/>
        <v>Week1</v>
      </c>
      <c r="F86" t="s">
        <v>1018</v>
      </c>
      <c r="G86" t="s">
        <v>1013</v>
      </c>
      <c r="H86">
        <v>2000</v>
      </c>
      <c r="I86" t="s">
        <v>1027</v>
      </c>
      <c r="J86" t="s">
        <v>1030</v>
      </c>
      <c r="K86" t="s">
        <v>1031</v>
      </c>
    </row>
    <row r="87" spans="1:11" x14ac:dyDescent="0.25">
      <c r="A87" t="s">
        <v>86</v>
      </c>
      <c r="B87" s="1">
        <v>45419</v>
      </c>
      <c r="C87">
        <f t="shared" si="4"/>
        <v>2024</v>
      </c>
      <c r="D87" t="str">
        <f t="shared" si="3"/>
        <v>May</v>
      </c>
      <c r="E87" t="str">
        <f t="shared" si="2"/>
        <v>Week1</v>
      </c>
      <c r="F87" t="s">
        <v>1057</v>
      </c>
      <c r="G87" t="s">
        <v>1010</v>
      </c>
      <c r="H87">
        <v>90000</v>
      </c>
      <c r="I87" t="s">
        <v>1027</v>
      </c>
      <c r="J87" t="s">
        <v>1030</v>
      </c>
      <c r="K87" t="s">
        <v>1031</v>
      </c>
    </row>
    <row r="88" spans="1:11" x14ac:dyDescent="0.25">
      <c r="A88" t="s">
        <v>87</v>
      </c>
      <c r="B88" s="1">
        <v>45419</v>
      </c>
      <c r="C88">
        <f t="shared" si="4"/>
        <v>2024</v>
      </c>
      <c r="D88" t="str">
        <f t="shared" si="3"/>
        <v>May</v>
      </c>
      <c r="E88" t="str">
        <f t="shared" si="2"/>
        <v>Week1</v>
      </c>
      <c r="F88" t="s">
        <v>1058</v>
      </c>
      <c r="G88" t="s">
        <v>1199</v>
      </c>
      <c r="H88">
        <v>20000</v>
      </c>
      <c r="I88" t="s">
        <v>1027</v>
      </c>
      <c r="J88" t="s">
        <v>1030</v>
      </c>
      <c r="K88" t="s">
        <v>1031</v>
      </c>
    </row>
    <row r="89" spans="1:11" x14ac:dyDescent="0.25">
      <c r="A89" t="s">
        <v>88</v>
      </c>
      <c r="B89" s="1">
        <v>45425</v>
      </c>
      <c r="C89">
        <f t="shared" si="4"/>
        <v>2024</v>
      </c>
      <c r="D89" t="str">
        <f t="shared" si="3"/>
        <v>May</v>
      </c>
      <c r="E89" t="str">
        <f t="shared" si="2"/>
        <v>Week2</v>
      </c>
      <c r="F89" t="s">
        <v>1059</v>
      </c>
      <c r="G89" t="s">
        <v>1198</v>
      </c>
      <c r="H89">
        <v>8000</v>
      </c>
      <c r="I89" t="s">
        <v>1029</v>
      </c>
      <c r="J89" t="s">
        <v>1030</v>
      </c>
      <c r="K89" t="s">
        <v>1031</v>
      </c>
    </row>
    <row r="90" spans="1:11" x14ac:dyDescent="0.25">
      <c r="A90" t="s">
        <v>89</v>
      </c>
      <c r="B90" s="1">
        <v>45425</v>
      </c>
      <c r="C90">
        <f t="shared" si="4"/>
        <v>2024</v>
      </c>
      <c r="D90" t="str">
        <f t="shared" si="3"/>
        <v>May</v>
      </c>
      <c r="E90" t="str">
        <f t="shared" si="2"/>
        <v>Week2</v>
      </c>
      <c r="F90" t="s">
        <v>1060</v>
      </c>
      <c r="G90" t="s">
        <v>1015</v>
      </c>
      <c r="H90">
        <v>2500</v>
      </c>
      <c r="I90" t="s">
        <v>1029</v>
      </c>
      <c r="J90" t="s">
        <v>1030</v>
      </c>
      <c r="K90" t="s">
        <v>1031</v>
      </c>
    </row>
    <row r="91" spans="1:11" x14ac:dyDescent="0.25">
      <c r="A91" t="s">
        <v>90</v>
      </c>
      <c r="B91" s="1">
        <v>45425</v>
      </c>
      <c r="C91">
        <f t="shared" si="4"/>
        <v>2024</v>
      </c>
      <c r="D91" t="str">
        <f t="shared" si="3"/>
        <v>May</v>
      </c>
      <c r="E91" t="str">
        <f t="shared" si="2"/>
        <v>Week2</v>
      </c>
      <c r="F91" t="s">
        <v>1035</v>
      </c>
      <c r="G91" t="s">
        <v>1197</v>
      </c>
      <c r="H91">
        <v>11000</v>
      </c>
      <c r="I91" t="s">
        <v>1027</v>
      </c>
      <c r="J91" t="s">
        <v>1030</v>
      </c>
      <c r="K91" t="s">
        <v>1031</v>
      </c>
    </row>
    <row r="92" spans="1:11" x14ac:dyDescent="0.25">
      <c r="A92" t="s">
        <v>91</v>
      </c>
      <c r="B92" s="1">
        <v>45426</v>
      </c>
      <c r="C92">
        <f t="shared" si="4"/>
        <v>2024</v>
      </c>
      <c r="D92" t="str">
        <f t="shared" si="3"/>
        <v>May</v>
      </c>
      <c r="E92" t="str">
        <f t="shared" si="2"/>
        <v>Week2</v>
      </c>
      <c r="F92" t="s">
        <v>1061</v>
      </c>
      <c r="G92" t="s">
        <v>1010</v>
      </c>
      <c r="H92">
        <v>7000</v>
      </c>
      <c r="I92" t="s">
        <v>1027</v>
      </c>
      <c r="J92" t="s">
        <v>1030</v>
      </c>
      <c r="K92" t="s">
        <v>1031</v>
      </c>
    </row>
    <row r="93" spans="1:11" x14ac:dyDescent="0.25">
      <c r="A93" t="s">
        <v>92</v>
      </c>
      <c r="B93" s="1">
        <v>45426</v>
      </c>
      <c r="C93">
        <f t="shared" si="4"/>
        <v>2024</v>
      </c>
      <c r="D93" t="str">
        <f t="shared" si="3"/>
        <v>May</v>
      </c>
      <c r="E93" t="str">
        <f t="shared" si="2"/>
        <v>Week2</v>
      </c>
      <c r="F93" t="s">
        <v>1040</v>
      </c>
      <c r="G93" t="s">
        <v>1199</v>
      </c>
      <c r="H93">
        <v>20000</v>
      </c>
      <c r="I93" t="s">
        <v>1027</v>
      </c>
      <c r="J93" t="s">
        <v>1030</v>
      </c>
      <c r="K93" t="s">
        <v>1031</v>
      </c>
    </row>
    <row r="94" spans="1:11" x14ac:dyDescent="0.25">
      <c r="A94" t="s">
        <v>93</v>
      </c>
      <c r="B94" s="1">
        <v>45427</v>
      </c>
      <c r="C94">
        <f t="shared" si="4"/>
        <v>2024</v>
      </c>
      <c r="D94" t="str">
        <f t="shared" si="3"/>
        <v>May</v>
      </c>
      <c r="E94" t="str">
        <f t="shared" si="2"/>
        <v>Week3</v>
      </c>
      <c r="F94" t="s">
        <v>1062</v>
      </c>
      <c r="G94" t="s">
        <v>1200</v>
      </c>
      <c r="H94">
        <v>5600</v>
      </c>
      <c r="I94" t="s">
        <v>1027</v>
      </c>
      <c r="J94" t="s">
        <v>1030</v>
      </c>
      <c r="K94" t="s">
        <v>1031</v>
      </c>
    </row>
    <row r="95" spans="1:11" x14ac:dyDescent="0.25">
      <c r="A95" t="s">
        <v>94</v>
      </c>
      <c r="B95" s="1">
        <v>45427</v>
      </c>
      <c r="C95">
        <f t="shared" si="4"/>
        <v>2024</v>
      </c>
      <c r="D95" t="str">
        <f t="shared" si="3"/>
        <v>May</v>
      </c>
      <c r="E95" t="str">
        <f t="shared" si="2"/>
        <v>Week3</v>
      </c>
      <c r="F95" t="s">
        <v>1021</v>
      </c>
      <c r="G95" t="s">
        <v>1010</v>
      </c>
      <c r="H95">
        <v>3000</v>
      </c>
      <c r="I95" t="s">
        <v>1029</v>
      </c>
      <c r="J95" t="s">
        <v>1030</v>
      </c>
      <c r="K95" t="s">
        <v>1031</v>
      </c>
    </row>
    <row r="96" spans="1:11" x14ac:dyDescent="0.25">
      <c r="A96" t="s">
        <v>95</v>
      </c>
      <c r="B96" s="1">
        <v>45429</v>
      </c>
      <c r="C96">
        <f t="shared" si="4"/>
        <v>2024</v>
      </c>
      <c r="D96" t="str">
        <f t="shared" si="3"/>
        <v>May</v>
      </c>
      <c r="E96" t="str">
        <f t="shared" si="2"/>
        <v>Week3</v>
      </c>
      <c r="F96" t="s">
        <v>1046</v>
      </c>
      <c r="G96" t="s">
        <v>1014</v>
      </c>
      <c r="H96">
        <v>4200</v>
      </c>
      <c r="I96" t="s">
        <v>1028</v>
      </c>
      <c r="J96" t="s">
        <v>1030</v>
      </c>
      <c r="K96" t="s">
        <v>1031</v>
      </c>
    </row>
    <row r="97" spans="1:11" x14ac:dyDescent="0.25">
      <c r="A97" t="s">
        <v>96</v>
      </c>
      <c r="B97" s="1">
        <v>45442</v>
      </c>
      <c r="C97">
        <f t="shared" si="4"/>
        <v>2024</v>
      </c>
      <c r="D97" t="str">
        <f t="shared" si="3"/>
        <v>May</v>
      </c>
      <c r="E97" t="str">
        <f t="shared" si="2"/>
        <v>Week5</v>
      </c>
      <c r="F97" t="s">
        <v>1018</v>
      </c>
      <c r="G97" t="s">
        <v>1013</v>
      </c>
      <c r="H97">
        <v>5000</v>
      </c>
      <c r="I97" t="s">
        <v>1027</v>
      </c>
      <c r="J97" t="s">
        <v>1030</v>
      </c>
      <c r="K97" t="s">
        <v>1031</v>
      </c>
    </row>
    <row r="98" spans="1:11" x14ac:dyDescent="0.25">
      <c r="A98" t="s">
        <v>97</v>
      </c>
      <c r="B98" s="1">
        <v>45453</v>
      </c>
      <c r="C98">
        <f t="shared" si="4"/>
        <v>2024</v>
      </c>
      <c r="D98" t="str">
        <f t="shared" si="3"/>
        <v>June</v>
      </c>
      <c r="E98" t="str">
        <f t="shared" si="2"/>
        <v>Week2</v>
      </c>
      <c r="F98" t="s">
        <v>1035</v>
      </c>
      <c r="G98" t="s">
        <v>1197</v>
      </c>
      <c r="H98">
        <v>11000</v>
      </c>
      <c r="I98" t="s">
        <v>1027</v>
      </c>
      <c r="J98" t="s">
        <v>1030</v>
      </c>
      <c r="K98" t="s">
        <v>1031</v>
      </c>
    </row>
    <row r="99" spans="1:11" x14ac:dyDescent="0.25">
      <c r="A99" t="s">
        <v>98</v>
      </c>
      <c r="B99" s="1">
        <v>45453</v>
      </c>
      <c r="C99">
        <f t="shared" si="4"/>
        <v>2024</v>
      </c>
      <c r="D99" t="str">
        <f t="shared" si="3"/>
        <v>June</v>
      </c>
      <c r="E99" t="str">
        <f t="shared" si="2"/>
        <v>Week2</v>
      </c>
      <c r="F99" t="s">
        <v>1049</v>
      </c>
      <c r="G99" t="s">
        <v>1199</v>
      </c>
      <c r="H99">
        <v>20000</v>
      </c>
      <c r="I99" t="s">
        <v>1027</v>
      </c>
      <c r="J99" t="s">
        <v>1030</v>
      </c>
      <c r="K99" t="s">
        <v>1031</v>
      </c>
    </row>
    <row r="100" spans="1:11" x14ac:dyDescent="0.25">
      <c r="A100" t="s">
        <v>99</v>
      </c>
      <c r="B100" s="1">
        <v>45454</v>
      </c>
      <c r="C100">
        <f t="shared" si="4"/>
        <v>2024</v>
      </c>
      <c r="D100" t="str">
        <f t="shared" si="3"/>
        <v>June</v>
      </c>
      <c r="E100" t="str">
        <f t="shared" si="2"/>
        <v>Week2</v>
      </c>
      <c r="F100" t="s">
        <v>1064</v>
      </c>
      <c r="G100" t="s">
        <v>1015</v>
      </c>
      <c r="H100">
        <v>4000</v>
      </c>
      <c r="I100" t="s">
        <v>1029</v>
      </c>
      <c r="J100" t="s">
        <v>1030</v>
      </c>
      <c r="K100" t="s">
        <v>1031</v>
      </c>
    </row>
    <row r="101" spans="1:11" x14ac:dyDescent="0.25">
      <c r="A101" t="s">
        <v>100</v>
      </c>
      <c r="B101" s="1">
        <v>45450</v>
      </c>
      <c r="C101">
        <f t="shared" si="4"/>
        <v>2024</v>
      </c>
      <c r="D101" t="str">
        <f t="shared" si="3"/>
        <v>June</v>
      </c>
      <c r="E101" t="str">
        <f t="shared" si="2"/>
        <v>Week1</v>
      </c>
      <c r="F101" t="s">
        <v>1065</v>
      </c>
      <c r="G101" t="s">
        <v>1011</v>
      </c>
      <c r="H101">
        <v>22000</v>
      </c>
      <c r="I101" t="s">
        <v>1028</v>
      </c>
      <c r="J101" t="s">
        <v>1030</v>
      </c>
      <c r="K101" t="s">
        <v>1031</v>
      </c>
    </row>
    <row r="102" spans="1:11" x14ac:dyDescent="0.25">
      <c r="A102" t="s">
        <v>101</v>
      </c>
      <c r="B102" s="1">
        <v>45463</v>
      </c>
      <c r="C102">
        <f t="shared" si="4"/>
        <v>2024</v>
      </c>
      <c r="D102" t="str">
        <f t="shared" si="3"/>
        <v>June</v>
      </c>
      <c r="E102" t="str">
        <f t="shared" si="2"/>
        <v>Week3</v>
      </c>
      <c r="F102" t="s">
        <v>1066</v>
      </c>
      <c r="G102" t="s">
        <v>1012</v>
      </c>
      <c r="H102">
        <v>30000</v>
      </c>
      <c r="I102" t="s">
        <v>1028</v>
      </c>
      <c r="J102" t="s">
        <v>1030</v>
      </c>
      <c r="K102" t="s">
        <v>1031</v>
      </c>
    </row>
    <row r="103" spans="1:11" x14ac:dyDescent="0.25">
      <c r="A103" t="s">
        <v>102</v>
      </c>
      <c r="B103" s="1">
        <v>45432</v>
      </c>
      <c r="C103">
        <f t="shared" si="4"/>
        <v>2024</v>
      </c>
      <c r="D103" t="str">
        <f t="shared" si="3"/>
        <v>May</v>
      </c>
      <c r="E103" t="str">
        <f t="shared" si="2"/>
        <v>Week3</v>
      </c>
      <c r="F103" t="s">
        <v>1018</v>
      </c>
      <c r="G103" t="s">
        <v>1013</v>
      </c>
      <c r="H103">
        <v>4000</v>
      </c>
      <c r="I103" t="s">
        <v>1027</v>
      </c>
      <c r="J103" t="s">
        <v>1030</v>
      </c>
      <c r="K103" t="s">
        <v>1031</v>
      </c>
    </row>
    <row r="104" spans="1:11" x14ac:dyDescent="0.25">
      <c r="A104" t="s">
        <v>103</v>
      </c>
      <c r="B104" s="1">
        <v>45432</v>
      </c>
      <c r="C104">
        <f t="shared" ref="C104:C135" si="5">YEAR(B104)</f>
        <v>2024</v>
      </c>
      <c r="D104" t="str">
        <f t="shared" si="3"/>
        <v>May</v>
      </c>
      <c r="E104" t="str">
        <f t="shared" si="2"/>
        <v>Week3</v>
      </c>
      <c r="F104" t="s">
        <v>1019</v>
      </c>
      <c r="G104" t="s">
        <v>1197</v>
      </c>
      <c r="H104">
        <v>11000</v>
      </c>
      <c r="I104" t="s">
        <v>1027</v>
      </c>
      <c r="J104" t="s">
        <v>1030</v>
      </c>
      <c r="K104" t="s">
        <v>1031</v>
      </c>
    </row>
    <row r="105" spans="1:11" x14ac:dyDescent="0.25">
      <c r="A105" t="s">
        <v>104</v>
      </c>
      <c r="B105" s="1">
        <v>45436</v>
      </c>
      <c r="C105">
        <f t="shared" si="5"/>
        <v>2024</v>
      </c>
      <c r="D105" t="str">
        <f t="shared" si="3"/>
        <v>May</v>
      </c>
      <c r="E105" t="str">
        <f t="shared" si="2"/>
        <v>Week4</v>
      </c>
      <c r="F105" t="s">
        <v>1021</v>
      </c>
      <c r="G105" t="s">
        <v>1010</v>
      </c>
      <c r="H105">
        <v>3000</v>
      </c>
      <c r="I105" t="s">
        <v>1029</v>
      </c>
      <c r="J105" t="s">
        <v>1030</v>
      </c>
      <c r="K105" t="s">
        <v>1031</v>
      </c>
    </row>
    <row r="106" spans="1:11" x14ac:dyDescent="0.25">
      <c r="A106" t="s">
        <v>105</v>
      </c>
      <c r="B106" s="1">
        <v>45439</v>
      </c>
      <c r="C106">
        <f t="shared" si="5"/>
        <v>2024</v>
      </c>
      <c r="D106" t="str">
        <f t="shared" si="3"/>
        <v>May</v>
      </c>
      <c r="E106" t="str">
        <f t="shared" si="2"/>
        <v>Week4</v>
      </c>
      <c r="F106" t="s">
        <v>1065</v>
      </c>
      <c r="G106" t="s">
        <v>1011</v>
      </c>
      <c r="H106">
        <v>22000</v>
      </c>
      <c r="I106" t="s">
        <v>1027</v>
      </c>
      <c r="J106" t="s">
        <v>1030</v>
      </c>
      <c r="K106" t="s">
        <v>1031</v>
      </c>
    </row>
    <row r="107" spans="1:11" x14ac:dyDescent="0.25">
      <c r="A107" t="s">
        <v>106</v>
      </c>
      <c r="B107" s="1">
        <v>45439</v>
      </c>
      <c r="C107">
        <f t="shared" si="5"/>
        <v>2024</v>
      </c>
      <c r="D107" t="str">
        <f t="shared" si="3"/>
        <v>May</v>
      </c>
      <c r="E107" t="str">
        <f t="shared" si="2"/>
        <v>Week4</v>
      </c>
      <c r="F107" t="s">
        <v>1035</v>
      </c>
      <c r="G107" t="s">
        <v>1197</v>
      </c>
      <c r="H107">
        <v>11000</v>
      </c>
      <c r="I107" t="s">
        <v>1027</v>
      </c>
      <c r="J107" t="s">
        <v>1030</v>
      </c>
      <c r="K107" t="s">
        <v>1031</v>
      </c>
    </row>
    <row r="108" spans="1:11" x14ac:dyDescent="0.25">
      <c r="A108" t="s">
        <v>107</v>
      </c>
      <c r="B108" s="1">
        <v>45440</v>
      </c>
      <c r="C108">
        <f t="shared" si="5"/>
        <v>2024</v>
      </c>
      <c r="D108" t="str">
        <f t="shared" si="3"/>
        <v>May</v>
      </c>
      <c r="E108" t="str">
        <f t="shared" si="2"/>
        <v>Week4</v>
      </c>
      <c r="F108" t="s">
        <v>1067</v>
      </c>
      <c r="G108" t="s">
        <v>1011</v>
      </c>
      <c r="H108">
        <v>30000</v>
      </c>
      <c r="I108" t="s">
        <v>1027</v>
      </c>
      <c r="J108" t="s">
        <v>1030</v>
      </c>
      <c r="K108" t="s">
        <v>1031</v>
      </c>
    </row>
    <row r="109" spans="1:11" x14ac:dyDescent="0.25">
      <c r="A109" t="s">
        <v>108</v>
      </c>
      <c r="B109" s="1">
        <v>45440</v>
      </c>
      <c r="C109">
        <f t="shared" si="5"/>
        <v>2024</v>
      </c>
      <c r="D109" t="str">
        <f t="shared" si="3"/>
        <v>May</v>
      </c>
      <c r="E109" t="str">
        <f t="shared" si="2"/>
        <v>Week4</v>
      </c>
      <c r="F109" t="s">
        <v>1018</v>
      </c>
      <c r="G109" t="s">
        <v>1013</v>
      </c>
      <c r="H109">
        <v>2000</v>
      </c>
      <c r="I109" t="s">
        <v>1027</v>
      </c>
      <c r="J109" t="s">
        <v>1030</v>
      </c>
      <c r="K109" t="s">
        <v>1031</v>
      </c>
    </row>
    <row r="110" spans="1:11" x14ac:dyDescent="0.25">
      <c r="A110" t="s">
        <v>109</v>
      </c>
      <c r="B110" s="1">
        <v>45441</v>
      </c>
      <c r="C110">
        <f t="shared" si="5"/>
        <v>2024</v>
      </c>
      <c r="D110" t="str">
        <f t="shared" si="3"/>
        <v>May</v>
      </c>
      <c r="E110" t="str">
        <f t="shared" si="2"/>
        <v>Week5</v>
      </c>
      <c r="F110" t="s">
        <v>1068</v>
      </c>
      <c r="G110" t="s">
        <v>1011</v>
      </c>
      <c r="H110">
        <v>23000</v>
      </c>
      <c r="I110" t="s">
        <v>1027</v>
      </c>
      <c r="J110" t="s">
        <v>1030</v>
      </c>
      <c r="K110" t="s">
        <v>1031</v>
      </c>
    </row>
    <row r="111" spans="1:11" x14ac:dyDescent="0.25">
      <c r="A111" t="s">
        <v>110</v>
      </c>
      <c r="B111" s="1">
        <v>45441</v>
      </c>
      <c r="C111">
        <f t="shared" si="5"/>
        <v>2024</v>
      </c>
      <c r="D111" t="str">
        <f t="shared" si="3"/>
        <v>May</v>
      </c>
      <c r="E111" t="str">
        <f t="shared" si="2"/>
        <v>Week5</v>
      </c>
      <c r="F111" t="s">
        <v>1065</v>
      </c>
      <c r="G111" t="s">
        <v>1011</v>
      </c>
      <c r="H111">
        <v>23000</v>
      </c>
      <c r="I111" t="s">
        <v>1027</v>
      </c>
      <c r="J111" t="s">
        <v>1030</v>
      </c>
      <c r="K111" t="s">
        <v>1031</v>
      </c>
    </row>
    <row r="112" spans="1:11" x14ac:dyDescent="0.25">
      <c r="A112" t="s">
        <v>111</v>
      </c>
      <c r="B112" s="1">
        <v>45443</v>
      </c>
      <c r="C112">
        <f t="shared" si="5"/>
        <v>2024</v>
      </c>
      <c r="D112" t="str">
        <f t="shared" si="3"/>
        <v>May</v>
      </c>
      <c r="E112" t="str">
        <f t="shared" si="2"/>
        <v>Week5</v>
      </c>
      <c r="F112" t="s">
        <v>1025</v>
      </c>
      <c r="G112" t="s">
        <v>1014</v>
      </c>
      <c r="H112">
        <v>5000</v>
      </c>
      <c r="I112" t="s">
        <v>1027</v>
      </c>
      <c r="J112" t="s">
        <v>1030</v>
      </c>
      <c r="K112" t="s">
        <v>1031</v>
      </c>
    </row>
    <row r="113" spans="1:11" x14ac:dyDescent="0.25">
      <c r="A113" t="s">
        <v>112</v>
      </c>
      <c r="B113" s="1">
        <v>45443</v>
      </c>
      <c r="C113">
        <f t="shared" si="5"/>
        <v>2024</v>
      </c>
      <c r="D113" t="str">
        <f t="shared" si="3"/>
        <v>May</v>
      </c>
      <c r="E113" t="str">
        <f t="shared" si="2"/>
        <v>Week5</v>
      </c>
      <c r="F113" t="s">
        <v>1023</v>
      </c>
      <c r="G113" t="s">
        <v>1201</v>
      </c>
      <c r="H113">
        <v>7000</v>
      </c>
      <c r="I113" t="s">
        <v>1029</v>
      </c>
      <c r="J113" t="s">
        <v>1030</v>
      </c>
      <c r="K113" t="s">
        <v>1031</v>
      </c>
    </row>
    <row r="114" spans="1:11" x14ac:dyDescent="0.25">
      <c r="A114" t="s">
        <v>113</v>
      </c>
      <c r="B114" s="1">
        <v>45432</v>
      </c>
      <c r="C114">
        <f t="shared" si="5"/>
        <v>2024</v>
      </c>
      <c r="D114" t="str">
        <f t="shared" si="3"/>
        <v>May</v>
      </c>
      <c r="E114" t="str">
        <f t="shared" si="2"/>
        <v>Week3</v>
      </c>
      <c r="F114" t="s">
        <v>1018</v>
      </c>
      <c r="G114" t="s">
        <v>1013</v>
      </c>
      <c r="H114">
        <v>4000</v>
      </c>
      <c r="I114" t="s">
        <v>1027</v>
      </c>
      <c r="J114" t="s">
        <v>1030</v>
      </c>
      <c r="K114" t="s">
        <v>1031</v>
      </c>
    </row>
    <row r="115" spans="1:11" x14ac:dyDescent="0.25">
      <c r="A115" t="s">
        <v>114</v>
      </c>
      <c r="B115" s="1">
        <v>45432</v>
      </c>
      <c r="C115">
        <f t="shared" si="5"/>
        <v>2024</v>
      </c>
      <c r="D115" t="str">
        <f t="shared" si="3"/>
        <v>May</v>
      </c>
      <c r="E115" t="str">
        <f t="shared" si="2"/>
        <v>Week3</v>
      </c>
      <c r="F115" t="s">
        <v>1019</v>
      </c>
      <c r="G115" t="s">
        <v>1197</v>
      </c>
      <c r="H115">
        <v>11000</v>
      </c>
      <c r="I115" t="s">
        <v>1027</v>
      </c>
      <c r="J115" t="s">
        <v>1030</v>
      </c>
      <c r="K115" t="s">
        <v>1031</v>
      </c>
    </row>
    <row r="116" spans="1:11" x14ac:dyDescent="0.25">
      <c r="A116" t="s">
        <v>115</v>
      </c>
      <c r="B116" s="1">
        <v>45436</v>
      </c>
      <c r="C116">
        <f t="shared" si="5"/>
        <v>2024</v>
      </c>
      <c r="D116" t="str">
        <f t="shared" si="3"/>
        <v>May</v>
      </c>
      <c r="E116" t="str">
        <f t="shared" si="2"/>
        <v>Week4</v>
      </c>
      <c r="F116" t="s">
        <v>1021</v>
      </c>
      <c r="G116" t="s">
        <v>1010</v>
      </c>
      <c r="H116">
        <v>3000</v>
      </c>
      <c r="I116" t="s">
        <v>1029</v>
      </c>
      <c r="J116" t="s">
        <v>1030</v>
      </c>
      <c r="K116" t="s">
        <v>1031</v>
      </c>
    </row>
    <row r="117" spans="1:11" x14ac:dyDescent="0.25">
      <c r="A117" t="s">
        <v>116</v>
      </c>
      <c r="B117" s="1">
        <v>45439</v>
      </c>
      <c r="C117">
        <f t="shared" si="5"/>
        <v>2024</v>
      </c>
      <c r="D117" t="str">
        <f t="shared" si="3"/>
        <v>May</v>
      </c>
      <c r="E117" t="str">
        <f t="shared" si="2"/>
        <v>Week4</v>
      </c>
      <c r="F117" t="s">
        <v>1065</v>
      </c>
      <c r="G117" t="s">
        <v>1011</v>
      </c>
      <c r="H117">
        <v>22000</v>
      </c>
      <c r="I117" t="s">
        <v>1028</v>
      </c>
      <c r="J117" t="s">
        <v>1030</v>
      </c>
      <c r="K117" t="s">
        <v>1031</v>
      </c>
    </row>
    <row r="118" spans="1:11" x14ac:dyDescent="0.25">
      <c r="A118" t="s">
        <v>117</v>
      </c>
      <c r="B118" s="1">
        <v>45439</v>
      </c>
      <c r="C118">
        <f t="shared" si="5"/>
        <v>2024</v>
      </c>
      <c r="D118" t="str">
        <f t="shared" si="3"/>
        <v>May</v>
      </c>
      <c r="E118" t="str">
        <f t="shared" si="2"/>
        <v>Week4</v>
      </c>
      <c r="F118" t="s">
        <v>1019</v>
      </c>
      <c r="G118" t="s">
        <v>1197</v>
      </c>
      <c r="H118">
        <v>11000</v>
      </c>
      <c r="I118" t="s">
        <v>1027</v>
      </c>
      <c r="J118" t="s">
        <v>1030</v>
      </c>
      <c r="K118" t="s">
        <v>1031</v>
      </c>
    </row>
    <row r="119" spans="1:11" x14ac:dyDescent="0.25">
      <c r="A119" t="s">
        <v>118</v>
      </c>
      <c r="B119" s="1">
        <v>45440</v>
      </c>
      <c r="C119">
        <f t="shared" si="5"/>
        <v>2024</v>
      </c>
      <c r="D119" t="str">
        <f t="shared" si="3"/>
        <v>May</v>
      </c>
      <c r="E119" t="str">
        <f t="shared" si="2"/>
        <v>Week4</v>
      </c>
      <c r="F119" t="s">
        <v>1069</v>
      </c>
      <c r="G119" t="s">
        <v>1011</v>
      </c>
      <c r="H119">
        <v>30000</v>
      </c>
      <c r="I119" t="s">
        <v>1027</v>
      </c>
      <c r="J119" t="s">
        <v>1030</v>
      </c>
      <c r="K119" t="s">
        <v>1031</v>
      </c>
    </row>
    <row r="120" spans="1:11" x14ac:dyDescent="0.25">
      <c r="A120" t="s">
        <v>119</v>
      </c>
      <c r="B120" s="1">
        <v>45440</v>
      </c>
      <c r="C120">
        <f t="shared" si="5"/>
        <v>2024</v>
      </c>
      <c r="D120" t="str">
        <f t="shared" si="3"/>
        <v>May</v>
      </c>
      <c r="E120" t="str">
        <f t="shared" si="2"/>
        <v>Week4</v>
      </c>
      <c r="F120" t="s">
        <v>1018</v>
      </c>
      <c r="G120" t="s">
        <v>1013</v>
      </c>
      <c r="H120">
        <v>2000</v>
      </c>
      <c r="I120" t="s">
        <v>1027</v>
      </c>
      <c r="J120" t="s">
        <v>1030</v>
      </c>
      <c r="K120" t="s">
        <v>1031</v>
      </c>
    </row>
    <row r="121" spans="1:11" x14ac:dyDescent="0.25">
      <c r="A121" t="s">
        <v>120</v>
      </c>
      <c r="B121" s="1">
        <v>45441</v>
      </c>
      <c r="C121">
        <f t="shared" si="5"/>
        <v>2024</v>
      </c>
      <c r="D121" t="str">
        <f t="shared" si="3"/>
        <v>May</v>
      </c>
      <c r="E121" t="str">
        <f t="shared" si="2"/>
        <v>Week5</v>
      </c>
      <c r="F121" t="s">
        <v>1068</v>
      </c>
      <c r="G121" t="s">
        <v>1011</v>
      </c>
      <c r="H121">
        <v>18000</v>
      </c>
      <c r="I121" t="s">
        <v>1027</v>
      </c>
      <c r="J121" t="s">
        <v>1030</v>
      </c>
      <c r="K121" t="s">
        <v>1031</v>
      </c>
    </row>
    <row r="122" spans="1:11" x14ac:dyDescent="0.25">
      <c r="A122" t="s">
        <v>121</v>
      </c>
      <c r="B122" s="1">
        <v>45441</v>
      </c>
      <c r="C122">
        <f t="shared" si="5"/>
        <v>2024</v>
      </c>
      <c r="D122" t="str">
        <f t="shared" si="3"/>
        <v>May</v>
      </c>
      <c r="E122" t="str">
        <f t="shared" si="2"/>
        <v>Week5</v>
      </c>
      <c r="F122" t="s">
        <v>1065</v>
      </c>
      <c r="G122" t="s">
        <v>1011</v>
      </c>
      <c r="H122">
        <v>23000</v>
      </c>
      <c r="I122" t="s">
        <v>1029</v>
      </c>
      <c r="J122" t="s">
        <v>1030</v>
      </c>
      <c r="K122" t="s">
        <v>1031</v>
      </c>
    </row>
    <row r="123" spans="1:11" x14ac:dyDescent="0.25">
      <c r="A123" t="s">
        <v>122</v>
      </c>
      <c r="B123" s="1">
        <v>45443</v>
      </c>
      <c r="C123">
        <f t="shared" si="5"/>
        <v>2024</v>
      </c>
      <c r="D123" t="str">
        <f t="shared" si="3"/>
        <v>May</v>
      </c>
      <c r="E123" t="str">
        <f t="shared" si="2"/>
        <v>Week5</v>
      </c>
      <c r="F123" t="s">
        <v>1025</v>
      </c>
      <c r="G123" t="s">
        <v>1014</v>
      </c>
      <c r="H123">
        <v>5000</v>
      </c>
      <c r="I123" t="s">
        <v>1027</v>
      </c>
      <c r="J123" t="s">
        <v>1030</v>
      </c>
      <c r="K123" t="s">
        <v>1031</v>
      </c>
    </row>
    <row r="124" spans="1:11" x14ac:dyDescent="0.25">
      <c r="A124" t="s">
        <v>123</v>
      </c>
      <c r="B124" s="1">
        <v>45443</v>
      </c>
      <c r="C124">
        <f t="shared" si="5"/>
        <v>2024</v>
      </c>
      <c r="D124" t="str">
        <f t="shared" si="3"/>
        <v>May</v>
      </c>
      <c r="E124" t="str">
        <f t="shared" si="2"/>
        <v>Week5</v>
      </c>
      <c r="F124" t="s">
        <v>1023</v>
      </c>
      <c r="G124" t="s">
        <v>1201</v>
      </c>
      <c r="H124">
        <v>7000</v>
      </c>
      <c r="I124" t="s">
        <v>1029</v>
      </c>
      <c r="J124" t="s">
        <v>1030</v>
      </c>
      <c r="K124" t="s">
        <v>1031</v>
      </c>
    </row>
    <row r="125" spans="1:11" x14ac:dyDescent="0.25">
      <c r="A125" t="s">
        <v>124</v>
      </c>
      <c r="B125" s="1">
        <v>45443</v>
      </c>
      <c r="C125">
        <f t="shared" si="5"/>
        <v>2024</v>
      </c>
      <c r="D125" t="str">
        <f t="shared" si="3"/>
        <v>May</v>
      </c>
      <c r="E125" t="str">
        <f t="shared" si="2"/>
        <v>Week5</v>
      </c>
      <c r="F125" t="s">
        <v>1070</v>
      </c>
      <c r="G125" t="s">
        <v>1010</v>
      </c>
      <c r="H125">
        <v>25000</v>
      </c>
      <c r="I125" t="s">
        <v>1027</v>
      </c>
      <c r="J125" t="s">
        <v>1030</v>
      </c>
      <c r="K125" t="s">
        <v>1031</v>
      </c>
    </row>
    <row r="126" spans="1:11" x14ac:dyDescent="0.25">
      <c r="A126" t="s">
        <v>125</v>
      </c>
      <c r="B126" s="1">
        <v>45446</v>
      </c>
      <c r="C126">
        <f t="shared" si="5"/>
        <v>2024</v>
      </c>
      <c r="D126" t="str">
        <f t="shared" si="3"/>
        <v>June</v>
      </c>
      <c r="E126" t="str">
        <f t="shared" si="2"/>
        <v>Week1</v>
      </c>
      <c r="F126" t="s">
        <v>1019</v>
      </c>
      <c r="G126" t="s">
        <v>1197</v>
      </c>
      <c r="H126">
        <v>11000</v>
      </c>
      <c r="I126" t="s">
        <v>1027</v>
      </c>
      <c r="J126" t="s">
        <v>1030</v>
      </c>
      <c r="K126" t="s">
        <v>1031</v>
      </c>
    </row>
    <row r="127" spans="1:11" x14ac:dyDescent="0.25">
      <c r="A127" t="s">
        <v>126</v>
      </c>
      <c r="B127" s="1">
        <v>45446</v>
      </c>
      <c r="C127">
        <f t="shared" si="5"/>
        <v>2024</v>
      </c>
      <c r="D127" t="str">
        <f t="shared" si="3"/>
        <v>June</v>
      </c>
      <c r="E127" t="str">
        <f t="shared" si="2"/>
        <v>Week1</v>
      </c>
      <c r="F127" t="s">
        <v>1033</v>
      </c>
      <c r="G127" t="s">
        <v>1014</v>
      </c>
      <c r="H127">
        <v>68100</v>
      </c>
      <c r="I127" t="s">
        <v>1028</v>
      </c>
      <c r="J127" t="s">
        <v>1030</v>
      </c>
      <c r="K127" t="s">
        <v>1031</v>
      </c>
    </row>
    <row r="128" spans="1:11" x14ac:dyDescent="0.25">
      <c r="A128" t="s">
        <v>127</v>
      </c>
      <c r="B128" s="1">
        <v>45447</v>
      </c>
      <c r="C128">
        <f t="shared" si="5"/>
        <v>2024</v>
      </c>
      <c r="D128" t="str">
        <f t="shared" si="3"/>
        <v>June</v>
      </c>
      <c r="E128" t="str">
        <f t="shared" si="2"/>
        <v>Week1</v>
      </c>
      <c r="F128" t="s">
        <v>1049</v>
      </c>
      <c r="G128" t="s">
        <v>1199</v>
      </c>
      <c r="H128">
        <v>20000</v>
      </c>
      <c r="I128" t="s">
        <v>1027</v>
      </c>
      <c r="J128" t="s">
        <v>1030</v>
      </c>
      <c r="K128" t="s">
        <v>1031</v>
      </c>
    </row>
    <row r="129" spans="1:11" x14ac:dyDescent="0.25">
      <c r="A129" t="s">
        <v>128</v>
      </c>
      <c r="B129" s="1">
        <v>45447</v>
      </c>
      <c r="C129">
        <f t="shared" si="5"/>
        <v>2024</v>
      </c>
      <c r="D129" t="str">
        <f t="shared" si="3"/>
        <v>June</v>
      </c>
      <c r="E129" t="str">
        <f t="shared" si="2"/>
        <v>Week1</v>
      </c>
      <c r="F129" t="s">
        <v>1037</v>
      </c>
      <c r="G129" t="s">
        <v>1199</v>
      </c>
      <c r="H129">
        <v>20000</v>
      </c>
      <c r="I129" t="s">
        <v>1027</v>
      </c>
      <c r="J129" t="s">
        <v>1030</v>
      </c>
      <c r="K129" t="s">
        <v>1031</v>
      </c>
    </row>
    <row r="130" spans="1:11" x14ac:dyDescent="0.25">
      <c r="A130" t="s">
        <v>129</v>
      </c>
      <c r="B130" s="1">
        <v>45447</v>
      </c>
      <c r="C130">
        <f t="shared" si="5"/>
        <v>2024</v>
      </c>
      <c r="D130" t="str">
        <f t="shared" si="3"/>
        <v>June</v>
      </c>
      <c r="E130" t="str">
        <f t="shared" si="2"/>
        <v>Week1</v>
      </c>
      <c r="F130" t="s">
        <v>1046</v>
      </c>
      <c r="G130" t="s">
        <v>1014</v>
      </c>
      <c r="H130">
        <v>4200</v>
      </c>
      <c r="I130" t="s">
        <v>1028</v>
      </c>
      <c r="J130" t="s">
        <v>1030</v>
      </c>
      <c r="K130" t="s">
        <v>1031</v>
      </c>
    </row>
    <row r="131" spans="1:11" x14ac:dyDescent="0.25">
      <c r="A131" t="s">
        <v>130</v>
      </c>
      <c r="B131" s="1">
        <v>45447</v>
      </c>
      <c r="C131">
        <f t="shared" si="5"/>
        <v>2024</v>
      </c>
      <c r="D131" t="str">
        <f t="shared" si="3"/>
        <v>June</v>
      </c>
      <c r="E131" t="str">
        <f t="shared" si="2"/>
        <v>Week1</v>
      </c>
      <c r="F131" t="s">
        <v>1072</v>
      </c>
      <c r="G131" t="s">
        <v>1012</v>
      </c>
      <c r="H131">
        <v>5000</v>
      </c>
      <c r="I131" t="s">
        <v>1027</v>
      </c>
      <c r="J131" t="s">
        <v>1030</v>
      </c>
      <c r="K131" t="s">
        <v>1031</v>
      </c>
    </row>
    <row r="132" spans="1:11" x14ac:dyDescent="0.25">
      <c r="A132" t="s">
        <v>131</v>
      </c>
      <c r="B132" s="1">
        <v>45467</v>
      </c>
      <c r="C132">
        <f t="shared" si="5"/>
        <v>2024</v>
      </c>
      <c r="D132" t="str">
        <f t="shared" si="3"/>
        <v>June</v>
      </c>
      <c r="E132" t="str">
        <f t="shared" si="2"/>
        <v>Week4</v>
      </c>
      <c r="F132" t="s">
        <v>1018</v>
      </c>
      <c r="G132" t="s">
        <v>1013</v>
      </c>
      <c r="H132">
        <v>7000</v>
      </c>
      <c r="I132" t="s">
        <v>1027</v>
      </c>
      <c r="J132" t="s">
        <v>1030</v>
      </c>
      <c r="K132" t="s">
        <v>1031</v>
      </c>
    </row>
    <row r="133" spans="1:11" x14ac:dyDescent="0.25">
      <c r="A133" t="s">
        <v>132</v>
      </c>
      <c r="B133" s="1">
        <v>45467</v>
      </c>
      <c r="C133">
        <f t="shared" si="5"/>
        <v>2024</v>
      </c>
      <c r="D133" t="str">
        <f t="shared" si="3"/>
        <v>June</v>
      </c>
      <c r="E133" t="str">
        <f t="shared" si="2"/>
        <v>Week4</v>
      </c>
      <c r="F133" t="s">
        <v>1073</v>
      </c>
      <c r="G133" t="s">
        <v>1015</v>
      </c>
      <c r="H133">
        <v>15000</v>
      </c>
      <c r="I133" t="s">
        <v>1027</v>
      </c>
      <c r="J133" t="s">
        <v>1030</v>
      </c>
      <c r="K133" t="s">
        <v>1031</v>
      </c>
    </row>
    <row r="134" spans="1:11" x14ac:dyDescent="0.25">
      <c r="A134" t="s">
        <v>133</v>
      </c>
      <c r="B134" s="1">
        <v>45467</v>
      </c>
      <c r="C134">
        <f t="shared" si="5"/>
        <v>2024</v>
      </c>
      <c r="D134" t="str">
        <f t="shared" si="3"/>
        <v>June</v>
      </c>
      <c r="E134" t="str">
        <f t="shared" si="2"/>
        <v>Week4</v>
      </c>
      <c r="F134" t="s">
        <v>1046</v>
      </c>
      <c r="G134" t="s">
        <v>1014</v>
      </c>
      <c r="H134">
        <v>3900</v>
      </c>
      <c r="I134" t="s">
        <v>1028</v>
      </c>
      <c r="J134" t="s">
        <v>1030</v>
      </c>
      <c r="K134" t="s">
        <v>1031</v>
      </c>
    </row>
    <row r="135" spans="1:11" x14ac:dyDescent="0.25">
      <c r="A135" t="s">
        <v>134</v>
      </c>
      <c r="B135" s="1">
        <v>45467</v>
      </c>
      <c r="C135">
        <f t="shared" si="5"/>
        <v>2024</v>
      </c>
      <c r="D135" t="str">
        <f t="shared" si="3"/>
        <v>June</v>
      </c>
      <c r="E135" t="str">
        <f t="shared" si="2"/>
        <v>Week4</v>
      </c>
      <c r="F135" t="s">
        <v>1035</v>
      </c>
      <c r="G135" t="s">
        <v>1197</v>
      </c>
      <c r="H135">
        <v>11000</v>
      </c>
      <c r="I135" t="s">
        <v>1027</v>
      </c>
      <c r="J135" t="s">
        <v>1030</v>
      </c>
      <c r="K135" t="s">
        <v>1031</v>
      </c>
    </row>
    <row r="136" spans="1:11" x14ac:dyDescent="0.25">
      <c r="A136" t="s">
        <v>135</v>
      </c>
      <c r="B136" s="1">
        <v>45468</v>
      </c>
      <c r="C136">
        <f t="shared" ref="C136:C167" si="6">YEAR(B136)</f>
        <v>2024</v>
      </c>
      <c r="D136" t="str">
        <f t="shared" si="3"/>
        <v>June</v>
      </c>
      <c r="E136" t="str">
        <f t="shared" si="2"/>
        <v>Week4</v>
      </c>
      <c r="F136" t="s">
        <v>1074</v>
      </c>
      <c r="G136" t="s">
        <v>1012</v>
      </c>
      <c r="H136">
        <v>22000</v>
      </c>
      <c r="I136" t="s">
        <v>1027</v>
      </c>
      <c r="J136" t="s">
        <v>1030</v>
      </c>
      <c r="K136" t="s">
        <v>1031</v>
      </c>
    </row>
    <row r="137" spans="1:11" x14ac:dyDescent="0.25">
      <c r="A137" t="s">
        <v>136</v>
      </c>
      <c r="B137" s="1">
        <v>45468</v>
      </c>
      <c r="C137">
        <f t="shared" si="6"/>
        <v>2024</v>
      </c>
      <c r="D137" t="str">
        <f t="shared" si="3"/>
        <v>June</v>
      </c>
      <c r="E137" t="str">
        <f t="shared" si="2"/>
        <v>Week4</v>
      </c>
      <c r="F137" t="s">
        <v>1025</v>
      </c>
      <c r="G137" t="s">
        <v>1014</v>
      </c>
      <c r="H137">
        <v>5000</v>
      </c>
      <c r="I137" t="s">
        <v>1027</v>
      </c>
      <c r="J137" t="s">
        <v>1030</v>
      </c>
      <c r="K137" t="s">
        <v>1031</v>
      </c>
    </row>
    <row r="138" spans="1:11" x14ac:dyDescent="0.25">
      <c r="A138" t="s">
        <v>137</v>
      </c>
      <c r="B138" s="1">
        <v>45469</v>
      </c>
      <c r="C138">
        <f t="shared" si="6"/>
        <v>2024</v>
      </c>
      <c r="D138" t="str">
        <f t="shared" si="3"/>
        <v>June</v>
      </c>
      <c r="E138" t="str">
        <f t="shared" si="2"/>
        <v>Week4</v>
      </c>
      <c r="F138" t="s">
        <v>1075</v>
      </c>
      <c r="G138" t="s">
        <v>1010</v>
      </c>
      <c r="H138">
        <v>13500</v>
      </c>
      <c r="I138" t="s">
        <v>1027</v>
      </c>
      <c r="J138" t="s">
        <v>1030</v>
      </c>
      <c r="K138" t="s">
        <v>1031</v>
      </c>
    </row>
    <row r="139" spans="1:11" x14ac:dyDescent="0.25">
      <c r="A139" t="s">
        <v>138</v>
      </c>
      <c r="B139" s="1">
        <v>45470</v>
      </c>
      <c r="C139">
        <f t="shared" si="6"/>
        <v>2024</v>
      </c>
      <c r="D139" t="str">
        <f t="shared" si="3"/>
        <v>June</v>
      </c>
      <c r="E139" t="str">
        <f t="shared" si="2"/>
        <v>Week4</v>
      </c>
      <c r="F139" t="s">
        <v>1023</v>
      </c>
      <c r="G139" t="s">
        <v>1201</v>
      </c>
      <c r="H139">
        <v>7000</v>
      </c>
      <c r="I139" t="s">
        <v>1029</v>
      </c>
      <c r="J139" t="s">
        <v>1030</v>
      </c>
      <c r="K139" t="s">
        <v>1031</v>
      </c>
    </row>
    <row r="140" spans="1:11" x14ac:dyDescent="0.25">
      <c r="A140" t="s">
        <v>139</v>
      </c>
      <c r="B140" s="1">
        <v>45471</v>
      </c>
      <c r="C140">
        <f t="shared" si="6"/>
        <v>2024</v>
      </c>
      <c r="D140" t="str">
        <f t="shared" si="3"/>
        <v>June</v>
      </c>
      <c r="E140" t="str">
        <f t="shared" si="2"/>
        <v>Week4</v>
      </c>
      <c r="F140" t="s">
        <v>1076</v>
      </c>
      <c r="G140" t="s">
        <v>1197</v>
      </c>
      <c r="H140">
        <v>64000</v>
      </c>
      <c r="I140" t="s">
        <v>1027</v>
      </c>
      <c r="J140" t="s">
        <v>1030</v>
      </c>
      <c r="K140" t="s">
        <v>1031</v>
      </c>
    </row>
    <row r="141" spans="1:11" x14ac:dyDescent="0.25">
      <c r="A141" t="s">
        <v>140</v>
      </c>
      <c r="B141" s="1">
        <v>45474</v>
      </c>
      <c r="C141">
        <f t="shared" si="6"/>
        <v>2024</v>
      </c>
      <c r="D141" t="str">
        <f t="shared" si="3"/>
        <v>July</v>
      </c>
      <c r="E141" t="str">
        <f t="shared" si="2"/>
        <v>Week1</v>
      </c>
      <c r="F141" t="s">
        <v>1077</v>
      </c>
      <c r="G141" t="s">
        <v>1011</v>
      </c>
      <c r="H141">
        <v>30000</v>
      </c>
      <c r="I141" t="s">
        <v>1027</v>
      </c>
      <c r="J141" t="s">
        <v>1030</v>
      </c>
      <c r="K141" t="s">
        <v>1031</v>
      </c>
    </row>
    <row r="142" spans="1:11" x14ac:dyDescent="0.25">
      <c r="A142" t="s">
        <v>141</v>
      </c>
      <c r="B142" s="1">
        <v>45474</v>
      </c>
      <c r="C142">
        <f t="shared" si="6"/>
        <v>2024</v>
      </c>
      <c r="D142" t="str">
        <f t="shared" si="3"/>
        <v>July</v>
      </c>
      <c r="E142" t="str">
        <f t="shared" si="2"/>
        <v>Week1</v>
      </c>
      <c r="F142" t="s">
        <v>1033</v>
      </c>
      <c r="G142" t="s">
        <v>1014</v>
      </c>
      <c r="H142">
        <v>72470</v>
      </c>
      <c r="I142" t="s">
        <v>1028</v>
      </c>
      <c r="J142" t="s">
        <v>1030</v>
      </c>
      <c r="K142" t="s">
        <v>1031</v>
      </c>
    </row>
    <row r="143" spans="1:11" x14ac:dyDescent="0.25">
      <c r="A143" t="s">
        <v>142</v>
      </c>
      <c r="B143" s="1">
        <v>45475</v>
      </c>
      <c r="C143">
        <f t="shared" si="6"/>
        <v>2024</v>
      </c>
      <c r="D143" t="str">
        <f t="shared" si="3"/>
        <v>July</v>
      </c>
      <c r="E143" t="str">
        <f t="shared" si="2"/>
        <v>Week1</v>
      </c>
      <c r="F143" t="s">
        <v>1065</v>
      </c>
      <c r="G143" t="s">
        <v>1011</v>
      </c>
      <c r="H143">
        <v>22000</v>
      </c>
      <c r="I143" t="s">
        <v>1027</v>
      </c>
      <c r="J143" t="s">
        <v>1030</v>
      </c>
      <c r="K143" t="s">
        <v>1031</v>
      </c>
    </row>
    <row r="144" spans="1:11" x14ac:dyDescent="0.25">
      <c r="A144" t="s">
        <v>143</v>
      </c>
      <c r="B144" s="1">
        <v>45475</v>
      </c>
      <c r="C144">
        <f t="shared" si="6"/>
        <v>2024</v>
      </c>
      <c r="D144" t="str">
        <f t="shared" si="3"/>
        <v>July</v>
      </c>
      <c r="E144" t="str">
        <f t="shared" si="2"/>
        <v>Week1</v>
      </c>
      <c r="F144" t="s">
        <v>1068</v>
      </c>
      <c r="G144" t="s">
        <v>1011</v>
      </c>
      <c r="H144">
        <v>18000</v>
      </c>
      <c r="I144" t="s">
        <v>1027</v>
      </c>
      <c r="J144" t="s">
        <v>1030</v>
      </c>
      <c r="K144" t="s">
        <v>1031</v>
      </c>
    </row>
    <row r="145" spans="1:11" x14ac:dyDescent="0.25">
      <c r="A145" t="s">
        <v>144</v>
      </c>
      <c r="B145" s="1">
        <v>45477</v>
      </c>
      <c r="C145">
        <f t="shared" si="6"/>
        <v>2024</v>
      </c>
      <c r="D145" t="str">
        <f t="shared" si="3"/>
        <v>July</v>
      </c>
      <c r="E145" t="str">
        <f t="shared" si="2"/>
        <v>Week1</v>
      </c>
      <c r="F145" t="s">
        <v>1078</v>
      </c>
      <c r="G145" t="s">
        <v>1199</v>
      </c>
      <c r="H145">
        <v>18000</v>
      </c>
      <c r="I145" t="s">
        <v>1027</v>
      </c>
      <c r="J145" t="s">
        <v>1030</v>
      </c>
      <c r="K145" t="s">
        <v>1031</v>
      </c>
    </row>
    <row r="146" spans="1:11" x14ac:dyDescent="0.25">
      <c r="A146" t="s">
        <v>145</v>
      </c>
      <c r="B146" s="1">
        <v>45477</v>
      </c>
      <c r="C146">
        <f t="shared" si="6"/>
        <v>2024</v>
      </c>
      <c r="D146" t="str">
        <f t="shared" si="3"/>
        <v>July</v>
      </c>
      <c r="E146" t="str">
        <f t="shared" si="2"/>
        <v>Week1</v>
      </c>
      <c r="F146" t="s">
        <v>1079</v>
      </c>
      <c r="G146" t="s">
        <v>1199</v>
      </c>
      <c r="H146">
        <v>20000</v>
      </c>
      <c r="I146" t="s">
        <v>1027</v>
      </c>
      <c r="J146" t="s">
        <v>1030</v>
      </c>
      <c r="K146" t="s">
        <v>1031</v>
      </c>
    </row>
    <row r="147" spans="1:11" x14ac:dyDescent="0.25">
      <c r="A147" t="s">
        <v>146</v>
      </c>
      <c r="B147" s="1">
        <v>45481</v>
      </c>
      <c r="C147">
        <f t="shared" si="6"/>
        <v>2024</v>
      </c>
      <c r="D147" t="str">
        <f t="shared" si="3"/>
        <v>July</v>
      </c>
      <c r="E147" t="str">
        <f t="shared" si="2"/>
        <v>Week2</v>
      </c>
      <c r="F147" t="s">
        <v>1019</v>
      </c>
      <c r="G147" t="s">
        <v>1197</v>
      </c>
      <c r="H147">
        <v>11000</v>
      </c>
      <c r="I147" t="s">
        <v>1027</v>
      </c>
      <c r="J147" t="s">
        <v>1030</v>
      </c>
      <c r="K147" t="s">
        <v>1031</v>
      </c>
    </row>
    <row r="148" spans="1:11" x14ac:dyDescent="0.25">
      <c r="A148" t="s">
        <v>147</v>
      </c>
      <c r="B148" s="1">
        <v>45482</v>
      </c>
      <c r="C148">
        <f t="shared" si="6"/>
        <v>2024</v>
      </c>
      <c r="D148" t="str">
        <f t="shared" si="3"/>
        <v>July</v>
      </c>
      <c r="E148" t="str">
        <f t="shared" si="2"/>
        <v>Week2</v>
      </c>
      <c r="F148" t="s">
        <v>1080</v>
      </c>
      <c r="G148" t="s">
        <v>1199</v>
      </c>
      <c r="H148">
        <v>20000</v>
      </c>
      <c r="I148" t="s">
        <v>1027</v>
      </c>
      <c r="J148" t="s">
        <v>1030</v>
      </c>
      <c r="K148" t="s">
        <v>1031</v>
      </c>
    </row>
    <row r="149" spans="1:11" x14ac:dyDescent="0.25">
      <c r="A149" t="s">
        <v>148</v>
      </c>
      <c r="B149" s="1">
        <v>45478</v>
      </c>
      <c r="C149">
        <f t="shared" si="6"/>
        <v>2024</v>
      </c>
      <c r="D149" t="str">
        <f t="shared" si="3"/>
        <v>July</v>
      </c>
      <c r="E149" t="str">
        <f t="shared" si="2"/>
        <v>Week1</v>
      </c>
      <c r="F149" t="s">
        <v>1018</v>
      </c>
      <c r="G149" t="s">
        <v>1013</v>
      </c>
      <c r="H149">
        <v>2000</v>
      </c>
      <c r="I149" t="s">
        <v>1027</v>
      </c>
      <c r="J149" t="s">
        <v>1030</v>
      </c>
      <c r="K149" t="s">
        <v>1031</v>
      </c>
    </row>
    <row r="150" spans="1:11" x14ac:dyDescent="0.25">
      <c r="A150" t="s">
        <v>149</v>
      </c>
      <c r="B150" s="1">
        <v>45478</v>
      </c>
      <c r="C150">
        <f t="shared" si="6"/>
        <v>2024</v>
      </c>
      <c r="D150" t="str">
        <f t="shared" si="3"/>
        <v>July</v>
      </c>
      <c r="E150" t="str">
        <f t="shared" si="2"/>
        <v>Week1</v>
      </c>
      <c r="F150" t="s">
        <v>1025</v>
      </c>
      <c r="G150" t="s">
        <v>1014</v>
      </c>
      <c r="H150">
        <v>5000</v>
      </c>
      <c r="I150" t="s">
        <v>1027</v>
      </c>
      <c r="J150" t="s">
        <v>1030</v>
      </c>
      <c r="K150" t="s">
        <v>1031</v>
      </c>
    </row>
    <row r="151" spans="1:11" x14ac:dyDescent="0.25">
      <c r="A151" t="s">
        <v>150</v>
      </c>
      <c r="B151" s="1">
        <v>45488</v>
      </c>
      <c r="C151">
        <f t="shared" si="6"/>
        <v>2024</v>
      </c>
      <c r="D151" t="str">
        <f t="shared" si="3"/>
        <v>July</v>
      </c>
      <c r="E151" t="str">
        <f t="shared" si="2"/>
        <v>Week3</v>
      </c>
      <c r="F151" t="s">
        <v>1081</v>
      </c>
      <c r="G151" t="s">
        <v>1012</v>
      </c>
      <c r="H151">
        <v>4000</v>
      </c>
      <c r="I151" t="s">
        <v>1029</v>
      </c>
      <c r="J151" t="s">
        <v>1030</v>
      </c>
      <c r="K151" t="s">
        <v>1031</v>
      </c>
    </row>
    <row r="152" spans="1:11" x14ac:dyDescent="0.25">
      <c r="A152" t="s">
        <v>151</v>
      </c>
      <c r="B152" s="1">
        <v>45488</v>
      </c>
      <c r="C152">
        <f t="shared" si="6"/>
        <v>2024</v>
      </c>
      <c r="D152" t="str">
        <f t="shared" si="3"/>
        <v>July</v>
      </c>
      <c r="E152" t="str">
        <f t="shared" si="2"/>
        <v>Week3</v>
      </c>
      <c r="F152" t="s">
        <v>1019</v>
      </c>
      <c r="G152" t="s">
        <v>1197</v>
      </c>
      <c r="H152">
        <v>11000</v>
      </c>
      <c r="I152" t="s">
        <v>1027</v>
      </c>
      <c r="J152" t="s">
        <v>1030</v>
      </c>
      <c r="K152" t="s">
        <v>1031</v>
      </c>
    </row>
    <row r="153" spans="1:11" x14ac:dyDescent="0.25">
      <c r="A153" t="s">
        <v>152</v>
      </c>
      <c r="B153" s="1">
        <v>45489</v>
      </c>
      <c r="C153">
        <f t="shared" si="6"/>
        <v>2024</v>
      </c>
      <c r="D153" t="str">
        <f t="shared" si="3"/>
        <v>July</v>
      </c>
      <c r="E153" t="str">
        <f t="shared" si="2"/>
        <v>Week3</v>
      </c>
      <c r="F153" t="s">
        <v>1065</v>
      </c>
      <c r="G153" t="s">
        <v>1011</v>
      </c>
      <c r="H153">
        <v>20000</v>
      </c>
      <c r="I153" t="s">
        <v>1028</v>
      </c>
      <c r="J153" t="s">
        <v>1030</v>
      </c>
      <c r="K153" t="s">
        <v>1031</v>
      </c>
    </row>
    <row r="154" spans="1:11" x14ac:dyDescent="0.25">
      <c r="A154" t="s">
        <v>153</v>
      </c>
      <c r="B154" s="1">
        <v>45489</v>
      </c>
      <c r="C154">
        <f t="shared" si="6"/>
        <v>2024</v>
      </c>
      <c r="D154" t="str">
        <f t="shared" si="3"/>
        <v>July</v>
      </c>
      <c r="E154" t="str">
        <f t="shared" si="2"/>
        <v>Week3</v>
      </c>
      <c r="F154" t="s">
        <v>1046</v>
      </c>
      <c r="G154" t="s">
        <v>1014</v>
      </c>
      <c r="H154">
        <v>3900</v>
      </c>
      <c r="I154" t="s">
        <v>1027</v>
      </c>
      <c r="J154" t="s">
        <v>1030</v>
      </c>
      <c r="K154" t="s">
        <v>1031</v>
      </c>
    </row>
    <row r="155" spans="1:11" x14ac:dyDescent="0.25">
      <c r="A155" t="s">
        <v>154</v>
      </c>
      <c r="B155" s="1">
        <v>45490</v>
      </c>
      <c r="C155">
        <f t="shared" si="6"/>
        <v>2024</v>
      </c>
      <c r="D155" t="str">
        <f t="shared" si="3"/>
        <v>July</v>
      </c>
      <c r="E155" t="str">
        <f t="shared" si="2"/>
        <v>Week3</v>
      </c>
      <c r="F155" t="s">
        <v>1068</v>
      </c>
      <c r="G155" t="s">
        <v>1011</v>
      </c>
      <c r="H155">
        <v>19000</v>
      </c>
      <c r="I155" t="s">
        <v>1027</v>
      </c>
      <c r="J155" t="s">
        <v>1030</v>
      </c>
      <c r="K155" t="s">
        <v>1031</v>
      </c>
    </row>
    <row r="156" spans="1:11" x14ac:dyDescent="0.25">
      <c r="A156" t="s">
        <v>155</v>
      </c>
      <c r="B156" s="1">
        <v>45491</v>
      </c>
      <c r="C156">
        <f t="shared" si="6"/>
        <v>2024</v>
      </c>
      <c r="D156" t="str">
        <f t="shared" si="3"/>
        <v>July</v>
      </c>
      <c r="E156" t="str">
        <f t="shared" si="2"/>
        <v>Week3</v>
      </c>
      <c r="F156" t="s">
        <v>1077</v>
      </c>
      <c r="G156" t="s">
        <v>1011</v>
      </c>
      <c r="H156">
        <v>22000</v>
      </c>
      <c r="I156" t="s">
        <v>1027</v>
      </c>
      <c r="J156" t="s">
        <v>1030</v>
      </c>
      <c r="K156" t="s">
        <v>1031</v>
      </c>
    </row>
    <row r="157" spans="1:11" x14ac:dyDescent="0.25">
      <c r="A157" t="s">
        <v>156</v>
      </c>
      <c r="B157" s="1">
        <v>45492</v>
      </c>
      <c r="C157">
        <f t="shared" si="6"/>
        <v>2024</v>
      </c>
      <c r="D157" t="str">
        <f t="shared" si="3"/>
        <v>July</v>
      </c>
      <c r="E157" t="str">
        <f t="shared" ref="E157:E171" si="7">"Week"&amp;ROUNDUP(DAY(B156)/7,0)</f>
        <v>Week3</v>
      </c>
      <c r="F157" t="s">
        <v>1065</v>
      </c>
      <c r="G157" t="s">
        <v>1011</v>
      </c>
      <c r="H157">
        <v>15000</v>
      </c>
      <c r="I157" t="s">
        <v>1027</v>
      </c>
      <c r="J157" t="s">
        <v>1030</v>
      </c>
      <c r="K157" t="s">
        <v>1031</v>
      </c>
    </row>
    <row r="158" spans="1:11" x14ac:dyDescent="0.25">
      <c r="A158" t="s">
        <v>157</v>
      </c>
      <c r="B158" s="1">
        <v>45491</v>
      </c>
      <c r="C158">
        <f t="shared" si="6"/>
        <v>2024</v>
      </c>
      <c r="D158" t="str">
        <f t="shared" si="3"/>
        <v>July</v>
      </c>
      <c r="E158" t="str">
        <f t="shared" si="7"/>
        <v>Week3</v>
      </c>
      <c r="F158" t="s">
        <v>1018</v>
      </c>
      <c r="G158" t="s">
        <v>1013</v>
      </c>
      <c r="H158">
        <v>2000</v>
      </c>
      <c r="I158" t="s">
        <v>1027</v>
      </c>
      <c r="J158" t="s">
        <v>1030</v>
      </c>
      <c r="K158" t="s">
        <v>1031</v>
      </c>
    </row>
    <row r="159" spans="1:11" x14ac:dyDescent="0.25">
      <c r="A159" t="s">
        <v>158</v>
      </c>
      <c r="B159" s="1">
        <v>45495</v>
      </c>
      <c r="C159">
        <f t="shared" si="6"/>
        <v>2024</v>
      </c>
      <c r="D159" t="str">
        <f t="shared" si="3"/>
        <v>July</v>
      </c>
      <c r="E159" t="str">
        <f t="shared" si="7"/>
        <v>Week3</v>
      </c>
      <c r="F159" t="s">
        <v>1065</v>
      </c>
      <c r="G159" t="s">
        <v>1011</v>
      </c>
      <c r="H159">
        <v>25000</v>
      </c>
      <c r="I159" t="s">
        <v>1028</v>
      </c>
      <c r="J159" t="s">
        <v>1030</v>
      </c>
      <c r="K159" t="s">
        <v>1031</v>
      </c>
    </row>
    <row r="160" spans="1:11" x14ac:dyDescent="0.25">
      <c r="A160" t="s">
        <v>159</v>
      </c>
      <c r="B160" s="1">
        <v>45495</v>
      </c>
      <c r="C160">
        <f t="shared" si="6"/>
        <v>2024</v>
      </c>
      <c r="D160" t="str">
        <f t="shared" si="3"/>
        <v>July</v>
      </c>
      <c r="E160" t="str">
        <f t="shared" si="7"/>
        <v>Week4</v>
      </c>
      <c r="F160" t="s">
        <v>1035</v>
      </c>
      <c r="G160" t="s">
        <v>1197</v>
      </c>
      <c r="H160">
        <v>11000</v>
      </c>
      <c r="I160" t="s">
        <v>1027</v>
      </c>
      <c r="J160" t="s">
        <v>1030</v>
      </c>
      <c r="K160" t="s">
        <v>1031</v>
      </c>
    </row>
    <row r="161" spans="1:11" x14ac:dyDescent="0.25">
      <c r="A161" t="s">
        <v>160</v>
      </c>
      <c r="B161" s="1">
        <v>45497</v>
      </c>
      <c r="C161">
        <f t="shared" si="6"/>
        <v>2024</v>
      </c>
      <c r="D161" t="str">
        <f t="shared" si="3"/>
        <v>July</v>
      </c>
      <c r="E161" t="str">
        <f t="shared" si="7"/>
        <v>Week4</v>
      </c>
      <c r="F161" t="s">
        <v>1068</v>
      </c>
      <c r="G161" t="s">
        <v>1011</v>
      </c>
      <c r="H161">
        <v>20000</v>
      </c>
      <c r="I161" t="s">
        <v>1028</v>
      </c>
      <c r="J161" t="s">
        <v>1030</v>
      </c>
      <c r="K161" t="s">
        <v>1031</v>
      </c>
    </row>
    <row r="162" spans="1:11" x14ac:dyDescent="0.25">
      <c r="A162" t="s">
        <v>161</v>
      </c>
      <c r="B162" s="1">
        <v>45497</v>
      </c>
      <c r="C162">
        <f t="shared" si="6"/>
        <v>2024</v>
      </c>
      <c r="D162" t="str">
        <f t="shared" si="3"/>
        <v>July</v>
      </c>
      <c r="E162" t="str">
        <f t="shared" si="7"/>
        <v>Week4</v>
      </c>
      <c r="F162" t="s">
        <v>1077</v>
      </c>
      <c r="G162" t="s">
        <v>1011</v>
      </c>
      <c r="H162">
        <v>22000</v>
      </c>
      <c r="I162" t="s">
        <v>1028</v>
      </c>
      <c r="J162" t="s">
        <v>1030</v>
      </c>
      <c r="K162" t="s">
        <v>1031</v>
      </c>
    </row>
    <row r="163" spans="1:11" x14ac:dyDescent="0.25">
      <c r="A163" t="s">
        <v>162</v>
      </c>
      <c r="B163" s="1">
        <v>45498</v>
      </c>
      <c r="C163">
        <f t="shared" si="6"/>
        <v>2024</v>
      </c>
      <c r="D163" t="str">
        <f t="shared" si="3"/>
        <v>July</v>
      </c>
      <c r="E163" t="str">
        <f t="shared" si="7"/>
        <v>Week4</v>
      </c>
      <c r="F163" t="s">
        <v>1025</v>
      </c>
      <c r="G163" t="s">
        <v>1014</v>
      </c>
      <c r="H163">
        <v>5000</v>
      </c>
      <c r="I163" t="s">
        <v>1027</v>
      </c>
      <c r="J163" t="s">
        <v>1030</v>
      </c>
      <c r="K163" t="s">
        <v>1031</v>
      </c>
    </row>
    <row r="164" spans="1:11" x14ac:dyDescent="0.25">
      <c r="A164" t="s">
        <v>163</v>
      </c>
      <c r="B164" s="1">
        <v>45498</v>
      </c>
      <c r="C164">
        <f t="shared" si="6"/>
        <v>2024</v>
      </c>
      <c r="D164" t="str">
        <f t="shared" si="3"/>
        <v>July</v>
      </c>
      <c r="E164" t="str">
        <f t="shared" si="7"/>
        <v>Week4</v>
      </c>
      <c r="F164" t="s">
        <v>1065</v>
      </c>
      <c r="G164" t="s">
        <v>1011</v>
      </c>
      <c r="H164">
        <v>18000</v>
      </c>
      <c r="I164" t="s">
        <v>1028</v>
      </c>
      <c r="J164" t="s">
        <v>1030</v>
      </c>
      <c r="K164" t="s">
        <v>1031</v>
      </c>
    </row>
    <row r="165" spans="1:11" x14ac:dyDescent="0.25">
      <c r="A165" t="s">
        <v>164</v>
      </c>
      <c r="B165" s="1">
        <v>45502</v>
      </c>
      <c r="C165">
        <f t="shared" si="6"/>
        <v>2024</v>
      </c>
      <c r="D165" t="str">
        <f t="shared" si="3"/>
        <v>July</v>
      </c>
      <c r="E165" t="str">
        <f t="shared" si="7"/>
        <v>Week4</v>
      </c>
      <c r="F165" t="s">
        <v>1065</v>
      </c>
      <c r="G165" t="s">
        <v>1011</v>
      </c>
      <c r="H165">
        <v>25000</v>
      </c>
      <c r="I165" t="s">
        <v>1027</v>
      </c>
      <c r="J165" t="s">
        <v>1030</v>
      </c>
      <c r="K165" t="s">
        <v>1031</v>
      </c>
    </row>
    <row r="166" spans="1:11" x14ac:dyDescent="0.25">
      <c r="A166" t="s">
        <v>165</v>
      </c>
      <c r="B166" s="1">
        <v>45502</v>
      </c>
      <c r="C166">
        <f t="shared" si="6"/>
        <v>2024</v>
      </c>
      <c r="D166" t="str">
        <f t="shared" si="3"/>
        <v>July</v>
      </c>
      <c r="E166" t="str">
        <f t="shared" si="7"/>
        <v>Week5</v>
      </c>
      <c r="F166" t="s">
        <v>1035</v>
      </c>
      <c r="G166" t="s">
        <v>1197</v>
      </c>
      <c r="H166">
        <v>11000</v>
      </c>
      <c r="I166" t="s">
        <v>1027</v>
      </c>
      <c r="J166" t="s">
        <v>1030</v>
      </c>
      <c r="K166" t="s">
        <v>1031</v>
      </c>
    </row>
    <row r="167" spans="1:11" x14ac:dyDescent="0.25">
      <c r="A167" t="s">
        <v>166</v>
      </c>
      <c r="B167" s="1">
        <v>45503</v>
      </c>
      <c r="C167">
        <f t="shared" si="6"/>
        <v>2024</v>
      </c>
      <c r="D167" t="str">
        <f t="shared" si="3"/>
        <v>July</v>
      </c>
      <c r="E167" t="str">
        <f t="shared" si="7"/>
        <v>Week5</v>
      </c>
      <c r="F167" t="s">
        <v>1077</v>
      </c>
      <c r="G167" t="s">
        <v>1011</v>
      </c>
      <c r="H167">
        <v>25000</v>
      </c>
      <c r="I167" t="s">
        <v>1027</v>
      </c>
      <c r="J167" t="s">
        <v>1030</v>
      </c>
      <c r="K167" t="s">
        <v>1031</v>
      </c>
    </row>
    <row r="168" spans="1:11" x14ac:dyDescent="0.25">
      <c r="A168" t="s">
        <v>167</v>
      </c>
      <c r="B168" s="1">
        <v>45503</v>
      </c>
      <c r="C168">
        <f t="shared" ref="C168:C422" si="8">YEAR(B168)</f>
        <v>2024</v>
      </c>
      <c r="D168" t="str">
        <f t="shared" si="3"/>
        <v>July</v>
      </c>
      <c r="E168" t="str">
        <f t="shared" si="7"/>
        <v>Week5</v>
      </c>
      <c r="F168" t="s">
        <v>1082</v>
      </c>
      <c r="G168" t="s">
        <v>1198</v>
      </c>
      <c r="H168">
        <v>66000</v>
      </c>
      <c r="I168" t="s">
        <v>1027</v>
      </c>
      <c r="J168" t="s">
        <v>1030</v>
      </c>
      <c r="K168" t="s">
        <v>1031</v>
      </c>
    </row>
    <row r="169" spans="1:11" x14ac:dyDescent="0.25">
      <c r="A169" t="s">
        <v>168</v>
      </c>
      <c r="B169" s="1">
        <v>45504</v>
      </c>
      <c r="C169">
        <f t="shared" si="8"/>
        <v>2024</v>
      </c>
      <c r="D169" t="str">
        <f t="shared" si="3"/>
        <v>July</v>
      </c>
      <c r="E169" t="str">
        <f t="shared" si="7"/>
        <v>Week5</v>
      </c>
      <c r="F169" t="s">
        <v>1023</v>
      </c>
      <c r="G169" t="s">
        <v>1201</v>
      </c>
      <c r="H169">
        <v>7000</v>
      </c>
      <c r="I169" t="s">
        <v>1029</v>
      </c>
      <c r="J169" t="s">
        <v>1030</v>
      </c>
      <c r="K169" t="s">
        <v>1031</v>
      </c>
    </row>
    <row r="170" spans="1:11" x14ac:dyDescent="0.25">
      <c r="A170" t="s">
        <v>169</v>
      </c>
      <c r="B170" s="1">
        <v>45504</v>
      </c>
      <c r="C170">
        <f t="shared" si="8"/>
        <v>2024</v>
      </c>
      <c r="D170" t="str">
        <f t="shared" si="3"/>
        <v>July</v>
      </c>
      <c r="E170" t="str">
        <f t="shared" si="7"/>
        <v>Week5</v>
      </c>
      <c r="F170" t="s">
        <v>1065</v>
      </c>
      <c r="G170" t="s">
        <v>1011</v>
      </c>
      <c r="H170">
        <v>18000</v>
      </c>
      <c r="I170" t="s">
        <v>1027</v>
      </c>
      <c r="J170" t="s">
        <v>1030</v>
      </c>
      <c r="K170" t="s">
        <v>1031</v>
      </c>
    </row>
    <row r="171" spans="1:11" x14ac:dyDescent="0.25">
      <c r="A171" t="s">
        <v>170</v>
      </c>
      <c r="B171" s="1">
        <v>45504</v>
      </c>
      <c r="C171">
        <f t="shared" si="8"/>
        <v>2024</v>
      </c>
      <c r="D171" t="str">
        <f t="shared" si="3"/>
        <v>July</v>
      </c>
      <c r="E171" t="str">
        <f t="shared" si="7"/>
        <v>Week5</v>
      </c>
      <c r="F171" t="s">
        <v>1083</v>
      </c>
      <c r="G171" t="s">
        <v>1011</v>
      </c>
      <c r="H171">
        <v>20000</v>
      </c>
      <c r="I171" t="s">
        <v>1027</v>
      </c>
      <c r="J171" t="s">
        <v>1030</v>
      </c>
      <c r="K171" t="s">
        <v>1031</v>
      </c>
    </row>
    <row r="172" spans="1:11" x14ac:dyDescent="0.25">
      <c r="A172" t="s">
        <v>171</v>
      </c>
      <c r="B172" s="1">
        <v>45505</v>
      </c>
      <c r="C172">
        <f t="shared" si="8"/>
        <v>2024</v>
      </c>
      <c r="D172" t="str">
        <f t="shared" si="3"/>
        <v>August</v>
      </c>
      <c r="E172" t="str">
        <f>"Week"&amp;ROUNDUP(DAY(B17)/7,0)</f>
        <v>Week1</v>
      </c>
      <c r="F172" t="s">
        <v>1018</v>
      </c>
      <c r="G172" t="s">
        <v>1013</v>
      </c>
      <c r="H172">
        <v>8000</v>
      </c>
      <c r="I172" t="s">
        <v>1027</v>
      </c>
      <c r="J172" t="s">
        <v>1030</v>
      </c>
      <c r="K172" t="s">
        <v>1031</v>
      </c>
    </row>
    <row r="173" spans="1:11" x14ac:dyDescent="0.25">
      <c r="A173" t="s">
        <v>172</v>
      </c>
      <c r="B173" s="1">
        <v>45504</v>
      </c>
      <c r="C173">
        <f t="shared" si="8"/>
        <v>2024</v>
      </c>
      <c r="D173" t="str">
        <f t="shared" si="3"/>
        <v>July</v>
      </c>
      <c r="E173" t="str">
        <f t="shared" ref="E173:E427" si="9">"Week"&amp;ROUNDUP(DAY(B173)/7,0)</f>
        <v>Week5</v>
      </c>
      <c r="F173" t="s">
        <v>1084</v>
      </c>
      <c r="G173" t="s">
        <v>1010</v>
      </c>
      <c r="H173">
        <v>17360</v>
      </c>
      <c r="I173" t="s">
        <v>1028</v>
      </c>
      <c r="J173" t="s">
        <v>1030</v>
      </c>
      <c r="K173" t="s">
        <v>1031</v>
      </c>
    </row>
    <row r="174" spans="1:11" x14ac:dyDescent="0.25">
      <c r="A174" t="s">
        <v>173</v>
      </c>
      <c r="B174" s="1">
        <v>45509</v>
      </c>
      <c r="C174">
        <f t="shared" si="8"/>
        <v>2024</v>
      </c>
      <c r="D174" t="str">
        <f t="shared" si="3"/>
        <v>August</v>
      </c>
      <c r="E174" t="str">
        <f t="shared" si="9"/>
        <v>Week1</v>
      </c>
      <c r="F174" t="s">
        <v>1085</v>
      </c>
      <c r="G174" t="s">
        <v>1199</v>
      </c>
      <c r="H174">
        <v>20000</v>
      </c>
      <c r="I174" t="s">
        <v>1027</v>
      </c>
      <c r="J174" t="s">
        <v>1030</v>
      </c>
      <c r="K174" t="s">
        <v>1031</v>
      </c>
    </row>
    <row r="175" spans="1:11" x14ac:dyDescent="0.25">
      <c r="A175" t="s">
        <v>174</v>
      </c>
      <c r="B175" s="1">
        <v>45509</v>
      </c>
      <c r="C175">
        <f t="shared" si="8"/>
        <v>2024</v>
      </c>
      <c r="D175" t="str">
        <f t="shared" si="3"/>
        <v>August</v>
      </c>
      <c r="E175" t="str">
        <f t="shared" si="9"/>
        <v>Week1</v>
      </c>
      <c r="F175" t="s">
        <v>1079</v>
      </c>
      <c r="G175" t="s">
        <v>1199</v>
      </c>
      <c r="H175">
        <v>18000</v>
      </c>
      <c r="I175" t="s">
        <v>1027</v>
      </c>
      <c r="J175" t="s">
        <v>1030</v>
      </c>
      <c r="K175" t="s">
        <v>1031</v>
      </c>
    </row>
    <row r="176" spans="1:11" x14ac:dyDescent="0.25">
      <c r="A176" t="s">
        <v>175</v>
      </c>
      <c r="B176" s="1">
        <v>45510</v>
      </c>
      <c r="C176">
        <f t="shared" si="8"/>
        <v>2024</v>
      </c>
      <c r="D176" t="str">
        <f t="shared" si="3"/>
        <v>August</v>
      </c>
      <c r="E176" t="str">
        <f t="shared" si="9"/>
        <v>Week1</v>
      </c>
      <c r="F176" t="s">
        <v>1025</v>
      </c>
      <c r="G176" t="s">
        <v>1014</v>
      </c>
      <c r="H176">
        <v>5000</v>
      </c>
      <c r="I176" t="s">
        <v>1027</v>
      </c>
      <c r="J176" t="s">
        <v>1030</v>
      </c>
      <c r="K176" t="s">
        <v>1031</v>
      </c>
    </row>
    <row r="177" spans="1:11" x14ac:dyDescent="0.25">
      <c r="A177" t="s">
        <v>176</v>
      </c>
      <c r="B177" s="1">
        <v>45506</v>
      </c>
      <c r="C177">
        <f t="shared" si="8"/>
        <v>2024</v>
      </c>
      <c r="D177" t="str">
        <f t="shared" si="3"/>
        <v>August</v>
      </c>
      <c r="E177" t="str">
        <f t="shared" si="9"/>
        <v>Week1</v>
      </c>
      <c r="F177" t="s">
        <v>1033</v>
      </c>
      <c r="G177" t="s">
        <v>1014</v>
      </c>
      <c r="H177">
        <v>78770</v>
      </c>
      <c r="I177" t="s">
        <v>1028</v>
      </c>
      <c r="J177" t="s">
        <v>1030</v>
      </c>
      <c r="K177" t="s">
        <v>1031</v>
      </c>
    </row>
    <row r="178" spans="1:11" x14ac:dyDescent="0.25">
      <c r="A178" t="s">
        <v>177</v>
      </c>
      <c r="B178" s="1">
        <v>45516</v>
      </c>
      <c r="C178">
        <f t="shared" si="8"/>
        <v>2024</v>
      </c>
      <c r="D178" t="str">
        <f t="shared" si="3"/>
        <v>August</v>
      </c>
      <c r="E178" t="str">
        <f t="shared" si="9"/>
        <v>Week2</v>
      </c>
      <c r="F178" t="s">
        <v>1035</v>
      </c>
      <c r="G178" t="s">
        <v>1197</v>
      </c>
      <c r="H178">
        <v>11000</v>
      </c>
      <c r="I178" t="s">
        <v>1027</v>
      </c>
      <c r="J178" t="s">
        <v>1030</v>
      </c>
      <c r="K178" t="s">
        <v>1031</v>
      </c>
    </row>
    <row r="179" spans="1:11" x14ac:dyDescent="0.25">
      <c r="A179" t="s">
        <v>178</v>
      </c>
      <c r="B179" s="1">
        <v>45516</v>
      </c>
      <c r="C179">
        <f t="shared" si="8"/>
        <v>2024</v>
      </c>
      <c r="D179" t="str">
        <f t="shared" si="3"/>
        <v>August</v>
      </c>
      <c r="E179" t="str">
        <f t="shared" si="9"/>
        <v>Week2</v>
      </c>
      <c r="F179" t="s">
        <v>1086</v>
      </c>
      <c r="G179" t="s">
        <v>1011</v>
      </c>
      <c r="H179">
        <v>25000</v>
      </c>
      <c r="I179" t="s">
        <v>1027</v>
      </c>
      <c r="J179" t="s">
        <v>1030</v>
      </c>
      <c r="K179" t="s">
        <v>1031</v>
      </c>
    </row>
    <row r="180" spans="1:11" x14ac:dyDescent="0.25">
      <c r="A180" t="s">
        <v>179</v>
      </c>
      <c r="B180" s="1">
        <v>45518</v>
      </c>
      <c r="C180">
        <f t="shared" si="8"/>
        <v>2024</v>
      </c>
      <c r="D180" t="str">
        <f t="shared" si="3"/>
        <v>August</v>
      </c>
      <c r="E180" t="str">
        <f t="shared" si="9"/>
        <v>Week2</v>
      </c>
      <c r="F180" t="s">
        <v>1083</v>
      </c>
      <c r="G180" t="s">
        <v>1011</v>
      </c>
      <c r="H180">
        <v>20000</v>
      </c>
      <c r="I180" t="s">
        <v>1027</v>
      </c>
      <c r="J180" t="s">
        <v>1030</v>
      </c>
      <c r="K180" t="s">
        <v>1031</v>
      </c>
    </row>
    <row r="181" spans="1:11" x14ac:dyDescent="0.25">
      <c r="A181" t="s">
        <v>180</v>
      </c>
      <c r="B181" s="1">
        <v>45516</v>
      </c>
      <c r="C181">
        <f t="shared" si="8"/>
        <v>2024</v>
      </c>
      <c r="D181" t="str">
        <f t="shared" si="3"/>
        <v>August</v>
      </c>
      <c r="E181" t="str">
        <f t="shared" si="9"/>
        <v>Week2</v>
      </c>
      <c r="F181" t="s">
        <v>1087</v>
      </c>
      <c r="G181" t="s">
        <v>1199</v>
      </c>
      <c r="H181">
        <v>20000</v>
      </c>
      <c r="I181" t="s">
        <v>1027</v>
      </c>
      <c r="J181" t="s">
        <v>1030</v>
      </c>
      <c r="K181" t="s">
        <v>1031</v>
      </c>
    </row>
    <row r="182" spans="1:11" x14ac:dyDescent="0.25">
      <c r="A182" t="s">
        <v>181</v>
      </c>
      <c r="B182" s="1">
        <v>45516</v>
      </c>
      <c r="C182">
        <f t="shared" si="8"/>
        <v>2024</v>
      </c>
      <c r="D182" t="str">
        <f t="shared" si="3"/>
        <v>August</v>
      </c>
      <c r="E182" t="str">
        <f t="shared" si="9"/>
        <v>Week2</v>
      </c>
      <c r="F182" t="s">
        <v>1065</v>
      </c>
      <c r="G182" t="s">
        <v>1011</v>
      </c>
      <c r="H182">
        <v>25000</v>
      </c>
      <c r="I182" t="s">
        <v>1028</v>
      </c>
      <c r="J182" t="s">
        <v>1030</v>
      </c>
      <c r="K182" t="s">
        <v>1031</v>
      </c>
    </row>
    <row r="183" spans="1:11" x14ac:dyDescent="0.25">
      <c r="A183" t="s">
        <v>182</v>
      </c>
      <c r="B183" s="1">
        <v>45518</v>
      </c>
      <c r="C183">
        <f t="shared" si="8"/>
        <v>2024</v>
      </c>
      <c r="D183" t="str">
        <f t="shared" si="3"/>
        <v>August</v>
      </c>
      <c r="E183" t="str">
        <f t="shared" si="9"/>
        <v>Week2</v>
      </c>
      <c r="F183" t="s">
        <v>1065</v>
      </c>
      <c r="G183" t="s">
        <v>1011</v>
      </c>
      <c r="H183">
        <v>18000</v>
      </c>
      <c r="I183" t="s">
        <v>1027</v>
      </c>
      <c r="J183" t="s">
        <v>1030</v>
      </c>
      <c r="K183" t="s">
        <v>1031</v>
      </c>
    </row>
    <row r="184" spans="1:11" x14ac:dyDescent="0.25">
      <c r="A184" t="s">
        <v>183</v>
      </c>
      <c r="B184" s="1">
        <v>45520</v>
      </c>
      <c r="C184">
        <f t="shared" si="8"/>
        <v>2024</v>
      </c>
      <c r="D184" t="str">
        <f t="shared" si="3"/>
        <v>August</v>
      </c>
      <c r="E184" t="str">
        <f t="shared" si="9"/>
        <v>Week3</v>
      </c>
      <c r="F184" t="s">
        <v>1018</v>
      </c>
      <c r="G184" t="s">
        <v>1013</v>
      </c>
      <c r="H184">
        <v>1000</v>
      </c>
      <c r="I184" t="s">
        <v>1027</v>
      </c>
      <c r="J184" t="s">
        <v>1030</v>
      </c>
      <c r="K184" t="s">
        <v>1031</v>
      </c>
    </row>
    <row r="185" spans="1:11" x14ac:dyDescent="0.25">
      <c r="A185" t="s">
        <v>184</v>
      </c>
      <c r="B185" s="1">
        <v>45522</v>
      </c>
      <c r="C185">
        <f t="shared" si="8"/>
        <v>2024</v>
      </c>
      <c r="D185" t="str">
        <f t="shared" si="3"/>
        <v>August</v>
      </c>
      <c r="E185" t="str">
        <f t="shared" si="9"/>
        <v>Week3</v>
      </c>
      <c r="F185" t="s">
        <v>1018</v>
      </c>
      <c r="G185" t="s">
        <v>1013</v>
      </c>
      <c r="H185">
        <v>2000</v>
      </c>
      <c r="I185" t="s">
        <v>1027</v>
      </c>
      <c r="J185" t="s">
        <v>1030</v>
      </c>
      <c r="K185" t="s">
        <v>1031</v>
      </c>
    </row>
    <row r="186" spans="1:11" x14ac:dyDescent="0.25">
      <c r="A186" t="s">
        <v>185</v>
      </c>
      <c r="B186" s="1">
        <v>45523</v>
      </c>
      <c r="C186">
        <f t="shared" si="8"/>
        <v>2024</v>
      </c>
      <c r="D186" t="str">
        <f t="shared" si="3"/>
        <v>August</v>
      </c>
      <c r="E186" t="str">
        <f t="shared" si="9"/>
        <v>Week3</v>
      </c>
      <c r="F186" t="s">
        <v>1086</v>
      </c>
      <c r="G186" t="s">
        <v>1011</v>
      </c>
      <c r="H186">
        <v>25000</v>
      </c>
      <c r="I186" t="s">
        <v>1027</v>
      </c>
      <c r="J186" t="s">
        <v>1030</v>
      </c>
      <c r="K186" t="s">
        <v>1031</v>
      </c>
    </row>
    <row r="187" spans="1:11" x14ac:dyDescent="0.25">
      <c r="A187" t="s">
        <v>186</v>
      </c>
      <c r="B187" s="1">
        <v>45523</v>
      </c>
      <c r="C187">
        <f t="shared" si="8"/>
        <v>2024</v>
      </c>
      <c r="D187" t="str">
        <f t="shared" si="3"/>
        <v>August</v>
      </c>
      <c r="E187" t="str">
        <f t="shared" si="9"/>
        <v>Week3</v>
      </c>
      <c r="F187" t="s">
        <v>1019</v>
      </c>
      <c r="G187" t="s">
        <v>1197</v>
      </c>
      <c r="H187">
        <v>11000</v>
      </c>
      <c r="I187" t="s">
        <v>1027</v>
      </c>
      <c r="J187" t="s">
        <v>1030</v>
      </c>
      <c r="K187" t="s">
        <v>1031</v>
      </c>
    </row>
    <row r="188" spans="1:11" x14ac:dyDescent="0.25">
      <c r="A188" t="s">
        <v>187</v>
      </c>
      <c r="B188" s="1">
        <v>45525</v>
      </c>
      <c r="C188">
        <f t="shared" si="8"/>
        <v>2024</v>
      </c>
      <c r="D188" t="str">
        <f t="shared" si="3"/>
        <v>August</v>
      </c>
      <c r="E188" t="str">
        <f t="shared" si="9"/>
        <v>Week3</v>
      </c>
      <c r="F188" t="s">
        <v>1088</v>
      </c>
      <c r="G188" t="s">
        <v>1010</v>
      </c>
      <c r="H188">
        <v>20000</v>
      </c>
      <c r="I188" t="s">
        <v>1027</v>
      </c>
      <c r="J188" t="s">
        <v>1030</v>
      </c>
      <c r="K188" t="s">
        <v>1031</v>
      </c>
    </row>
    <row r="189" spans="1:11" x14ac:dyDescent="0.25">
      <c r="A189" t="s">
        <v>188</v>
      </c>
      <c r="B189" s="1">
        <v>45525</v>
      </c>
      <c r="C189">
        <f t="shared" si="8"/>
        <v>2024</v>
      </c>
      <c r="D189" t="str">
        <f t="shared" si="3"/>
        <v>August</v>
      </c>
      <c r="E189" t="str">
        <f t="shared" si="9"/>
        <v>Week3</v>
      </c>
      <c r="F189" t="s">
        <v>1089</v>
      </c>
      <c r="G189" t="s">
        <v>1198</v>
      </c>
      <c r="H189">
        <v>19000</v>
      </c>
      <c r="I189" t="s">
        <v>1029</v>
      </c>
      <c r="J189" t="s">
        <v>1030</v>
      </c>
      <c r="K189" t="s">
        <v>1031</v>
      </c>
    </row>
    <row r="190" spans="1:11" x14ac:dyDescent="0.25">
      <c r="A190" t="s">
        <v>189</v>
      </c>
      <c r="B190" s="1">
        <v>45526</v>
      </c>
      <c r="C190">
        <f t="shared" si="8"/>
        <v>2024</v>
      </c>
      <c r="D190" t="str">
        <f t="shared" si="3"/>
        <v>August</v>
      </c>
      <c r="E190" t="str">
        <f t="shared" si="9"/>
        <v>Week4</v>
      </c>
      <c r="F190" t="s">
        <v>1086</v>
      </c>
      <c r="G190" t="s">
        <v>1011</v>
      </c>
      <c r="H190">
        <v>18000</v>
      </c>
      <c r="I190" t="s">
        <v>1027</v>
      </c>
      <c r="J190" t="s">
        <v>1030</v>
      </c>
      <c r="K190" t="s">
        <v>1031</v>
      </c>
    </row>
    <row r="191" spans="1:11" x14ac:dyDescent="0.25">
      <c r="A191" t="s">
        <v>190</v>
      </c>
      <c r="B191" s="1">
        <v>45530</v>
      </c>
      <c r="C191">
        <f t="shared" si="8"/>
        <v>2024</v>
      </c>
      <c r="D191" t="str">
        <f t="shared" si="3"/>
        <v>August</v>
      </c>
      <c r="E191" t="str">
        <f t="shared" si="9"/>
        <v>Week4</v>
      </c>
      <c r="F191" t="s">
        <v>1090</v>
      </c>
      <c r="G191" t="s">
        <v>1010</v>
      </c>
      <c r="H191">
        <v>4500</v>
      </c>
      <c r="I191" t="s">
        <v>1029</v>
      </c>
      <c r="J191" t="s">
        <v>1030</v>
      </c>
      <c r="K191" t="s">
        <v>1031</v>
      </c>
    </row>
    <row r="192" spans="1:11" x14ac:dyDescent="0.25">
      <c r="A192" t="s">
        <v>191</v>
      </c>
      <c r="B192" s="1">
        <v>45530</v>
      </c>
      <c r="C192">
        <f t="shared" si="8"/>
        <v>2024</v>
      </c>
      <c r="D192" t="str">
        <f t="shared" si="3"/>
        <v>August</v>
      </c>
      <c r="E192" t="str">
        <f t="shared" si="9"/>
        <v>Week4</v>
      </c>
      <c r="F192" t="s">
        <v>1091</v>
      </c>
      <c r="G192" t="s">
        <v>1010</v>
      </c>
      <c r="H192">
        <v>2500</v>
      </c>
      <c r="I192" t="s">
        <v>1029</v>
      </c>
      <c r="J192" t="s">
        <v>1030</v>
      </c>
      <c r="K192" t="s">
        <v>1031</v>
      </c>
    </row>
    <row r="193" spans="1:11" x14ac:dyDescent="0.25">
      <c r="A193" t="s">
        <v>192</v>
      </c>
      <c r="B193" s="1">
        <v>45530</v>
      </c>
      <c r="C193">
        <f t="shared" si="8"/>
        <v>2024</v>
      </c>
      <c r="D193" t="str">
        <f t="shared" si="3"/>
        <v>August</v>
      </c>
      <c r="E193" t="str">
        <f t="shared" si="9"/>
        <v>Week4</v>
      </c>
      <c r="F193" t="s">
        <v>1065</v>
      </c>
      <c r="G193" t="s">
        <v>1011</v>
      </c>
      <c r="H193">
        <v>25000</v>
      </c>
      <c r="I193" t="s">
        <v>1027</v>
      </c>
      <c r="J193" t="s">
        <v>1030</v>
      </c>
      <c r="K193" t="s">
        <v>1031</v>
      </c>
    </row>
    <row r="194" spans="1:11" x14ac:dyDescent="0.25">
      <c r="A194" t="s">
        <v>193</v>
      </c>
      <c r="B194" s="1">
        <v>45530</v>
      </c>
      <c r="C194">
        <f t="shared" si="8"/>
        <v>2024</v>
      </c>
      <c r="D194" t="str">
        <f t="shared" si="3"/>
        <v>August</v>
      </c>
      <c r="E194" t="str">
        <f t="shared" si="9"/>
        <v>Week4</v>
      </c>
      <c r="F194" t="s">
        <v>1035</v>
      </c>
      <c r="G194" t="s">
        <v>1197</v>
      </c>
      <c r="H194">
        <v>11000</v>
      </c>
      <c r="I194" t="s">
        <v>1027</v>
      </c>
      <c r="J194" t="s">
        <v>1030</v>
      </c>
      <c r="K194" t="s">
        <v>1031</v>
      </c>
    </row>
    <row r="195" spans="1:11" x14ac:dyDescent="0.25">
      <c r="A195" t="s">
        <v>194</v>
      </c>
      <c r="B195" s="1">
        <v>45531</v>
      </c>
      <c r="C195">
        <f t="shared" si="8"/>
        <v>2024</v>
      </c>
      <c r="D195" t="str">
        <f t="shared" si="3"/>
        <v>August</v>
      </c>
      <c r="E195" t="str">
        <f t="shared" si="9"/>
        <v>Week4</v>
      </c>
      <c r="F195" t="s">
        <v>1092</v>
      </c>
      <c r="G195" t="s">
        <v>1010</v>
      </c>
      <c r="H195">
        <v>2000</v>
      </c>
      <c r="I195" t="s">
        <v>1029</v>
      </c>
      <c r="J195" t="s">
        <v>1030</v>
      </c>
      <c r="K195" t="s">
        <v>1031</v>
      </c>
    </row>
    <row r="196" spans="1:11" x14ac:dyDescent="0.25">
      <c r="A196" t="s">
        <v>195</v>
      </c>
      <c r="B196" s="1">
        <v>45532</v>
      </c>
      <c r="C196">
        <f t="shared" si="8"/>
        <v>2024</v>
      </c>
      <c r="D196" t="str">
        <f t="shared" si="3"/>
        <v>August</v>
      </c>
      <c r="E196" t="str">
        <f t="shared" si="9"/>
        <v>Week4</v>
      </c>
      <c r="F196" t="s">
        <v>1093</v>
      </c>
      <c r="G196" t="s">
        <v>1011</v>
      </c>
      <c r="H196">
        <v>20000</v>
      </c>
      <c r="I196" t="s">
        <v>1027</v>
      </c>
      <c r="J196" t="s">
        <v>1030</v>
      </c>
      <c r="K196" t="s">
        <v>1031</v>
      </c>
    </row>
    <row r="197" spans="1:11" x14ac:dyDescent="0.25">
      <c r="A197" t="s">
        <v>196</v>
      </c>
      <c r="B197" s="1">
        <v>45533</v>
      </c>
      <c r="C197">
        <f t="shared" si="8"/>
        <v>2024</v>
      </c>
      <c r="D197" t="str">
        <f t="shared" si="3"/>
        <v>August</v>
      </c>
      <c r="E197" t="str">
        <f t="shared" si="9"/>
        <v>Week5</v>
      </c>
      <c r="F197" t="s">
        <v>1023</v>
      </c>
      <c r="G197" t="s">
        <v>1201</v>
      </c>
      <c r="H197">
        <v>7000</v>
      </c>
      <c r="I197" t="s">
        <v>1029</v>
      </c>
      <c r="J197" t="s">
        <v>1030</v>
      </c>
      <c r="K197" t="s">
        <v>1031</v>
      </c>
    </row>
    <row r="198" spans="1:11" x14ac:dyDescent="0.25">
      <c r="A198" t="s">
        <v>197</v>
      </c>
      <c r="B198" s="1">
        <v>45533</v>
      </c>
      <c r="C198">
        <f t="shared" si="8"/>
        <v>2024</v>
      </c>
      <c r="D198" t="str">
        <f t="shared" si="3"/>
        <v>August</v>
      </c>
      <c r="E198" t="str">
        <f t="shared" si="9"/>
        <v>Week5</v>
      </c>
      <c r="F198" t="s">
        <v>1065</v>
      </c>
      <c r="G198" t="s">
        <v>1011</v>
      </c>
      <c r="H198">
        <v>22000</v>
      </c>
      <c r="I198" t="s">
        <v>1027</v>
      </c>
      <c r="J198" t="s">
        <v>1030</v>
      </c>
      <c r="K198" t="s">
        <v>1031</v>
      </c>
    </row>
    <row r="199" spans="1:11" x14ac:dyDescent="0.25">
      <c r="A199" t="s">
        <v>198</v>
      </c>
      <c r="B199" s="1">
        <v>45533</v>
      </c>
      <c r="C199">
        <f t="shared" si="8"/>
        <v>2024</v>
      </c>
      <c r="D199" t="str">
        <f t="shared" si="3"/>
        <v>August</v>
      </c>
      <c r="E199" t="str">
        <f t="shared" si="9"/>
        <v>Week5</v>
      </c>
      <c r="F199" t="s">
        <v>1086</v>
      </c>
      <c r="G199" t="s">
        <v>1011</v>
      </c>
      <c r="H199">
        <v>21000</v>
      </c>
      <c r="I199" t="s">
        <v>1029</v>
      </c>
      <c r="J199" t="s">
        <v>1030</v>
      </c>
      <c r="K199" t="s">
        <v>1031</v>
      </c>
    </row>
    <row r="200" spans="1:11" x14ac:dyDescent="0.25">
      <c r="A200" t="s">
        <v>199</v>
      </c>
      <c r="B200" s="1">
        <v>45507</v>
      </c>
      <c r="C200">
        <f t="shared" si="8"/>
        <v>2024</v>
      </c>
      <c r="D200" t="str">
        <f t="shared" si="3"/>
        <v>August</v>
      </c>
      <c r="E200" t="str">
        <f t="shared" si="9"/>
        <v>Week1</v>
      </c>
      <c r="F200" t="s">
        <v>1018</v>
      </c>
      <c r="G200" t="s">
        <v>1013</v>
      </c>
      <c r="H200">
        <v>5000</v>
      </c>
      <c r="I200" t="s">
        <v>1027</v>
      </c>
      <c r="J200" t="s">
        <v>1030</v>
      </c>
      <c r="K200" t="s">
        <v>1031</v>
      </c>
    </row>
    <row r="201" spans="1:11" x14ac:dyDescent="0.25">
      <c r="A201" t="s">
        <v>200</v>
      </c>
      <c r="B201" s="1">
        <v>45536</v>
      </c>
      <c r="C201">
        <f t="shared" si="8"/>
        <v>2024</v>
      </c>
      <c r="D201" t="str">
        <f t="shared" si="3"/>
        <v>September</v>
      </c>
      <c r="E201" t="str">
        <f t="shared" si="9"/>
        <v>Week1</v>
      </c>
      <c r="F201" t="s">
        <v>1018</v>
      </c>
      <c r="G201" t="s">
        <v>1013</v>
      </c>
      <c r="H201">
        <v>3000</v>
      </c>
      <c r="I201" t="s">
        <v>1027</v>
      </c>
      <c r="J201" t="s">
        <v>1030</v>
      </c>
      <c r="K201" t="s">
        <v>1031</v>
      </c>
    </row>
    <row r="202" spans="1:11" x14ac:dyDescent="0.25">
      <c r="A202" t="s">
        <v>201</v>
      </c>
      <c r="B202" s="1">
        <v>45538</v>
      </c>
      <c r="C202">
        <f t="shared" si="8"/>
        <v>2024</v>
      </c>
      <c r="D202" t="str">
        <f t="shared" si="3"/>
        <v>September</v>
      </c>
      <c r="E202" t="str">
        <f t="shared" si="9"/>
        <v>Week1</v>
      </c>
      <c r="F202" t="s">
        <v>1033</v>
      </c>
      <c r="G202" t="s">
        <v>1014</v>
      </c>
      <c r="H202">
        <v>76170</v>
      </c>
      <c r="I202" t="s">
        <v>1028</v>
      </c>
      <c r="J202" t="s">
        <v>1030</v>
      </c>
      <c r="K202" t="s">
        <v>1031</v>
      </c>
    </row>
    <row r="203" spans="1:11" x14ac:dyDescent="0.25">
      <c r="A203" t="s">
        <v>202</v>
      </c>
      <c r="B203" s="1">
        <v>45537</v>
      </c>
      <c r="C203">
        <f t="shared" si="8"/>
        <v>2024</v>
      </c>
      <c r="D203" t="str">
        <f t="shared" si="3"/>
        <v>September</v>
      </c>
      <c r="E203" t="str">
        <f t="shared" si="9"/>
        <v>Week1</v>
      </c>
      <c r="F203" t="s">
        <v>1065</v>
      </c>
      <c r="G203" t="s">
        <v>1011</v>
      </c>
      <c r="H203">
        <v>26000</v>
      </c>
      <c r="I203" t="s">
        <v>1027</v>
      </c>
      <c r="J203" t="s">
        <v>1030</v>
      </c>
      <c r="K203" t="s">
        <v>1031</v>
      </c>
    </row>
    <row r="204" spans="1:11" x14ac:dyDescent="0.25">
      <c r="A204" t="s">
        <v>203</v>
      </c>
      <c r="B204" s="1">
        <v>45537</v>
      </c>
      <c r="C204">
        <f t="shared" si="8"/>
        <v>2024</v>
      </c>
      <c r="D204" t="str">
        <f t="shared" si="3"/>
        <v>September</v>
      </c>
      <c r="E204" t="str">
        <f t="shared" si="9"/>
        <v>Week1</v>
      </c>
      <c r="F204" t="s">
        <v>1094</v>
      </c>
      <c r="G204" t="s">
        <v>1198</v>
      </c>
      <c r="H204">
        <v>5500</v>
      </c>
      <c r="I204" t="s">
        <v>1029</v>
      </c>
      <c r="J204" t="s">
        <v>1030</v>
      </c>
      <c r="K204" t="s">
        <v>1031</v>
      </c>
    </row>
    <row r="205" spans="1:11" x14ac:dyDescent="0.25">
      <c r="A205" t="s">
        <v>204</v>
      </c>
      <c r="B205" s="1">
        <v>45537</v>
      </c>
      <c r="C205">
        <f t="shared" si="8"/>
        <v>2024</v>
      </c>
      <c r="D205" t="str">
        <f t="shared" si="3"/>
        <v>September</v>
      </c>
      <c r="E205" t="str">
        <f t="shared" si="9"/>
        <v>Week1</v>
      </c>
      <c r="F205" t="s">
        <v>1086</v>
      </c>
      <c r="G205" t="s">
        <v>1011</v>
      </c>
      <c r="H205">
        <v>25000</v>
      </c>
      <c r="I205" t="s">
        <v>1027</v>
      </c>
      <c r="J205" t="s">
        <v>1030</v>
      </c>
      <c r="K205" t="s">
        <v>1031</v>
      </c>
    </row>
    <row r="206" spans="1:11" x14ac:dyDescent="0.25">
      <c r="A206" t="s">
        <v>205</v>
      </c>
      <c r="B206" s="1">
        <v>45537</v>
      </c>
      <c r="C206">
        <f t="shared" si="8"/>
        <v>2024</v>
      </c>
      <c r="D206" t="str">
        <f t="shared" si="3"/>
        <v>September</v>
      </c>
      <c r="E206" t="str">
        <f t="shared" si="9"/>
        <v>Week1</v>
      </c>
      <c r="F206" t="s">
        <v>1049</v>
      </c>
      <c r="G206" t="s">
        <v>1199</v>
      </c>
      <c r="H206">
        <v>20000</v>
      </c>
      <c r="I206" t="s">
        <v>1027</v>
      </c>
      <c r="J206" t="s">
        <v>1030</v>
      </c>
      <c r="K206" t="s">
        <v>1031</v>
      </c>
    </row>
    <row r="207" spans="1:11" x14ac:dyDescent="0.25">
      <c r="A207" t="s">
        <v>206</v>
      </c>
      <c r="B207" s="1">
        <v>45537</v>
      </c>
      <c r="C207">
        <f t="shared" si="8"/>
        <v>2024</v>
      </c>
      <c r="D207" t="str">
        <f t="shared" si="3"/>
        <v>September</v>
      </c>
      <c r="E207" t="str">
        <f t="shared" si="9"/>
        <v>Week1</v>
      </c>
      <c r="F207" t="s">
        <v>1035</v>
      </c>
      <c r="G207" t="s">
        <v>1197</v>
      </c>
      <c r="H207">
        <v>11000</v>
      </c>
      <c r="I207" t="s">
        <v>1027</v>
      </c>
      <c r="J207" t="s">
        <v>1030</v>
      </c>
      <c r="K207" t="s">
        <v>1031</v>
      </c>
    </row>
    <row r="208" spans="1:11" x14ac:dyDescent="0.25">
      <c r="A208" t="s">
        <v>207</v>
      </c>
      <c r="B208" s="1">
        <v>45537</v>
      </c>
      <c r="C208">
        <f t="shared" si="8"/>
        <v>2024</v>
      </c>
      <c r="D208" t="str">
        <f t="shared" si="3"/>
        <v>September</v>
      </c>
      <c r="E208" t="str">
        <f t="shared" si="9"/>
        <v>Week1</v>
      </c>
      <c r="F208" t="s">
        <v>1025</v>
      </c>
      <c r="G208" t="s">
        <v>1014</v>
      </c>
      <c r="H208">
        <v>5000</v>
      </c>
      <c r="I208" t="s">
        <v>1027</v>
      </c>
      <c r="J208" t="s">
        <v>1030</v>
      </c>
      <c r="K208" t="s">
        <v>1031</v>
      </c>
    </row>
    <row r="209" spans="1:11" x14ac:dyDescent="0.25">
      <c r="A209" t="s">
        <v>208</v>
      </c>
      <c r="B209" s="1">
        <v>45538</v>
      </c>
      <c r="C209">
        <f t="shared" si="8"/>
        <v>2024</v>
      </c>
      <c r="D209" t="str">
        <f t="shared" si="3"/>
        <v>September</v>
      </c>
      <c r="E209" t="str">
        <f t="shared" si="9"/>
        <v>Week1</v>
      </c>
      <c r="F209" t="s">
        <v>1095</v>
      </c>
      <c r="G209" t="s">
        <v>1010</v>
      </c>
      <c r="H209">
        <v>12000</v>
      </c>
      <c r="I209" t="s">
        <v>1027</v>
      </c>
      <c r="J209" t="s">
        <v>1030</v>
      </c>
      <c r="K209" t="s">
        <v>1031</v>
      </c>
    </row>
    <row r="210" spans="1:11" x14ac:dyDescent="0.25">
      <c r="A210" t="s">
        <v>209</v>
      </c>
      <c r="B210" s="1">
        <v>45538</v>
      </c>
      <c r="C210">
        <f t="shared" si="8"/>
        <v>2024</v>
      </c>
      <c r="D210" t="str">
        <f t="shared" si="3"/>
        <v>September</v>
      </c>
      <c r="E210" t="str">
        <f t="shared" si="9"/>
        <v>Week1</v>
      </c>
      <c r="F210" t="s">
        <v>1096</v>
      </c>
      <c r="G210" t="s">
        <v>1015</v>
      </c>
      <c r="H210">
        <v>3500</v>
      </c>
      <c r="I210" t="s">
        <v>1029</v>
      </c>
      <c r="J210" t="s">
        <v>1030</v>
      </c>
      <c r="K210" t="s">
        <v>1031</v>
      </c>
    </row>
    <row r="211" spans="1:11" x14ac:dyDescent="0.25">
      <c r="A211" t="s">
        <v>210</v>
      </c>
      <c r="B211" s="1">
        <v>45539</v>
      </c>
      <c r="C211">
        <f t="shared" si="8"/>
        <v>2024</v>
      </c>
      <c r="D211" t="str">
        <f t="shared" si="3"/>
        <v>September</v>
      </c>
      <c r="E211" t="str">
        <f t="shared" si="9"/>
        <v>Week1</v>
      </c>
      <c r="F211" t="s">
        <v>1097</v>
      </c>
      <c r="G211" t="s">
        <v>1010</v>
      </c>
      <c r="H211">
        <v>10000</v>
      </c>
      <c r="I211" t="s">
        <v>1027</v>
      </c>
      <c r="J211" t="s">
        <v>1030</v>
      </c>
      <c r="K211" t="s">
        <v>1031</v>
      </c>
    </row>
    <row r="212" spans="1:11" x14ac:dyDescent="0.25">
      <c r="A212" t="s">
        <v>211</v>
      </c>
      <c r="B212" s="1">
        <v>45539</v>
      </c>
      <c r="C212">
        <f t="shared" si="8"/>
        <v>2024</v>
      </c>
      <c r="D212" t="str">
        <f t="shared" si="3"/>
        <v>September</v>
      </c>
      <c r="E212" t="str">
        <f t="shared" si="9"/>
        <v>Week1</v>
      </c>
      <c r="F212" t="s">
        <v>1093</v>
      </c>
      <c r="G212" t="s">
        <v>1011</v>
      </c>
      <c r="H212">
        <v>22000</v>
      </c>
      <c r="I212" t="s">
        <v>1027</v>
      </c>
      <c r="J212" t="s">
        <v>1030</v>
      </c>
      <c r="K212" t="s">
        <v>1031</v>
      </c>
    </row>
    <row r="213" spans="1:11" x14ac:dyDescent="0.25">
      <c r="A213" t="s">
        <v>212</v>
      </c>
      <c r="B213" s="1">
        <v>45540</v>
      </c>
      <c r="C213">
        <f t="shared" si="8"/>
        <v>2024</v>
      </c>
      <c r="D213" t="str">
        <f t="shared" si="3"/>
        <v>September</v>
      </c>
      <c r="E213" t="str">
        <f t="shared" si="9"/>
        <v>Week1</v>
      </c>
      <c r="F213" t="s">
        <v>1086</v>
      </c>
      <c r="G213" t="s">
        <v>1011</v>
      </c>
      <c r="H213">
        <v>25000</v>
      </c>
      <c r="I213" t="s">
        <v>1027</v>
      </c>
      <c r="J213" t="s">
        <v>1030</v>
      </c>
      <c r="K213" t="s">
        <v>1031</v>
      </c>
    </row>
    <row r="214" spans="1:11" x14ac:dyDescent="0.25">
      <c r="A214" t="s">
        <v>213</v>
      </c>
      <c r="B214" s="1">
        <v>45540</v>
      </c>
      <c r="C214">
        <f t="shared" si="8"/>
        <v>2024</v>
      </c>
      <c r="D214" t="str">
        <f t="shared" si="3"/>
        <v>September</v>
      </c>
      <c r="E214" t="str">
        <f t="shared" si="9"/>
        <v>Week1</v>
      </c>
      <c r="F214" t="s">
        <v>1065</v>
      </c>
      <c r="G214" t="s">
        <v>1011</v>
      </c>
      <c r="H214">
        <v>25000</v>
      </c>
      <c r="I214" t="s">
        <v>1027</v>
      </c>
      <c r="J214" t="s">
        <v>1030</v>
      </c>
      <c r="K214" t="s">
        <v>1031</v>
      </c>
    </row>
    <row r="215" spans="1:11" x14ac:dyDescent="0.25">
      <c r="A215" t="s">
        <v>214</v>
      </c>
      <c r="B215" s="1">
        <v>45541</v>
      </c>
      <c r="C215">
        <f t="shared" si="8"/>
        <v>2024</v>
      </c>
      <c r="D215" t="str">
        <f t="shared" si="3"/>
        <v>September</v>
      </c>
      <c r="E215" t="str">
        <f t="shared" si="9"/>
        <v>Week1</v>
      </c>
      <c r="F215" t="s">
        <v>1098</v>
      </c>
      <c r="G215" t="s">
        <v>1015</v>
      </c>
      <c r="H215">
        <v>3000</v>
      </c>
      <c r="I215" t="s">
        <v>1027</v>
      </c>
      <c r="J215" t="s">
        <v>1030</v>
      </c>
      <c r="K215" t="s">
        <v>1031</v>
      </c>
    </row>
    <row r="216" spans="1:11" x14ac:dyDescent="0.25">
      <c r="A216" t="s">
        <v>215</v>
      </c>
      <c r="B216" s="1">
        <v>45544</v>
      </c>
      <c r="C216">
        <f t="shared" si="8"/>
        <v>2024</v>
      </c>
      <c r="D216" t="str">
        <f t="shared" si="3"/>
        <v>September</v>
      </c>
      <c r="E216" t="str">
        <f t="shared" si="9"/>
        <v>Week2</v>
      </c>
      <c r="F216" t="s">
        <v>1086</v>
      </c>
      <c r="G216" t="s">
        <v>1011</v>
      </c>
      <c r="H216">
        <v>25000</v>
      </c>
      <c r="I216" t="s">
        <v>1028</v>
      </c>
      <c r="J216" t="s">
        <v>1030</v>
      </c>
      <c r="K216" t="s">
        <v>1031</v>
      </c>
    </row>
    <row r="217" spans="1:11" x14ac:dyDescent="0.25">
      <c r="A217" t="s">
        <v>216</v>
      </c>
      <c r="B217" s="1">
        <v>45544</v>
      </c>
      <c r="C217">
        <f t="shared" si="8"/>
        <v>2024</v>
      </c>
      <c r="D217" t="str">
        <f t="shared" si="3"/>
        <v>September</v>
      </c>
      <c r="E217" t="str">
        <f t="shared" si="9"/>
        <v>Week2</v>
      </c>
      <c r="F217" t="s">
        <v>1037</v>
      </c>
      <c r="G217" t="s">
        <v>1199</v>
      </c>
      <c r="H217">
        <v>20000</v>
      </c>
      <c r="I217" t="s">
        <v>1027</v>
      </c>
      <c r="J217" t="s">
        <v>1030</v>
      </c>
      <c r="K217" t="s">
        <v>1031</v>
      </c>
    </row>
    <row r="218" spans="1:11" x14ac:dyDescent="0.25">
      <c r="A218" t="s">
        <v>217</v>
      </c>
      <c r="B218" s="1">
        <v>45544</v>
      </c>
      <c r="C218">
        <f t="shared" si="8"/>
        <v>2024</v>
      </c>
      <c r="D218" t="str">
        <f t="shared" si="3"/>
        <v>September</v>
      </c>
      <c r="E218" t="str">
        <f t="shared" si="9"/>
        <v>Week2</v>
      </c>
      <c r="F218" t="s">
        <v>1040</v>
      </c>
      <c r="G218" t="s">
        <v>1199</v>
      </c>
      <c r="H218">
        <v>20000</v>
      </c>
      <c r="I218" t="s">
        <v>1027</v>
      </c>
      <c r="J218" t="s">
        <v>1030</v>
      </c>
      <c r="K218" t="s">
        <v>1031</v>
      </c>
    </row>
    <row r="219" spans="1:11" x14ac:dyDescent="0.25">
      <c r="A219" t="s">
        <v>218</v>
      </c>
      <c r="B219" s="1">
        <v>45544</v>
      </c>
      <c r="C219">
        <f t="shared" si="8"/>
        <v>2024</v>
      </c>
      <c r="D219" t="str">
        <f t="shared" si="3"/>
        <v>September</v>
      </c>
      <c r="E219" t="str">
        <f t="shared" si="9"/>
        <v>Week2</v>
      </c>
      <c r="F219" t="s">
        <v>1035</v>
      </c>
      <c r="G219" t="s">
        <v>1197</v>
      </c>
      <c r="H219">
        <v>11000</v>
      </c>
      <c r="I219" t="s">
        <v>1027</v>
      </c>
      <c r="J219" t="s">
        <v>1030</v>
      </c>
      <c r="K219" t="s">
        <v>1031</v>
      </c>
    </row>
    <row r="220" spans="1:11" x14ac:dyDescent="0.25">
      <c r="A220" t="s">
        <v>219</v>
      </c>
      <c r="B220" s="1">
        <v>45546</v>
      </c>
      <c r="C220">
        <f t="shared" si="8"/>
        <v>2024</v>
      </c>
      <c r="D220" t="str">
        <f t="shared" si="3"/>
        <v>September</v>
      </c>
      <c r="E220" t="str">
        <f t="shared" si="9"/>
        <v>Week2</v>
      </c>
      <c r="F220" t="s">
        <v>1093</v>
      </c>
      <c r="G220" t="s">
        <v>1011</v>
      </c>
      <c r="H220">
        <v>22000</v>
      </c>
      <c r="I220" t="s">
        <v>1027</v>
      </c>
      <c r="J220" t="s">
        <v>1030</v>
      </c>
      <c r="K220" t="s">
        <v>1031</v>
      </c>
    </row>
    <row r="221" spans="1:11" x14ac:dyDescent="0.25">
      <c r="A221" t="s">
        <v>220</v>
      </c>
      <c r="B221" s="1">
        <v>45546</v>
      </c>
      <c r="C221">
        <f t="shared" si="8"/>
        <v>2024</v>
      </c>
      <c r="D221" t="str">
        <f t="shared" si="3"/>
        <v>September</v>
      </c>
      <c r="E221" t="str">
        <f t="shared" si="9"/>
        <v>Week2</v>
      </c>
      <c r="F221" t="s">
        <v>1065</v>
      </c>
      <c r="G221" t="s">
        <v>1011</v>
      </c>
      <c r="H221">
        <v>35000</v>
      </c>
      <c r="I221" t="s">
        <v>1028</v>
      </c>
      <c r="J221" t="s">
        <v>1030</v>
      </c>
      <c r="K221" t="s">
        <v>1031</v>
      </c>
    </row>
    <row r="222" spans="1:11" x14ac:dyDescent="0.25">
      <c r="A222" t="s">
        <v>221</v>
      </c>
      <c r="B222" s="1">
        <v>45546</v>
      </c>
      <c r="C222">
        <f t="shared" si="8"/>
        <v>2024</v>
      </c>
      <c r="D222" t="str">
        <f t="shared" si="3"/>
        <v>September</v>
      </c>
      <c r="E222" t="str">
        <f t="shared" si="9"/>
        <v>Week2</v>
      </c>
      <c r="F222" t="s">
        <v>1018</v>
      </c>
      <c r="G222" t="s">
        <v>1013</v>
      </c>
      <c r="H222">
        <v>3000</v>
      </c>
      <c r="I222" t="s">
        <v>1027</v>
      </c>
      <c r="J222" t="s">
        <v>1030</v>
      </c>
      <c r="K222" t="s">
        <v>1031</v>
      </c>
    </row>
    <row r="223" spans="1:11" x14ac:dyDescent="0.25">
      <c r="A223" t="s">
        <v>222</v>
      </c>
      <c r="B223" s="1">
        <v>45546</v>
      </c>
      <c r="C223">
        <f t="shared" si="8"/>
        <v>2024</v>
      </c>
      <c r="D223" t="str">
        <f t="shared" si="3"/>
        <v>September</v>
      </c>
      <c r="E223" t="str">
        <f t="shared" si="9"/>
        <v>Week2</v>
      </c>
      <c r="F223" t="s">
        <v>1018</v>
      </c>
      <c r="G223" t="s">
        <v>1013</v>
      </c>
      <c r="H223">
        <v>3000</v>
      </c>
      <c r="I223" t="s">
        <v>1027</v>
      </c>
      <c r="J223" t="s">
        <v>1030</v>
      </c>
      <c r="K223" t="s">
        <v>1031</v>
      </c>
    </row>
    <row r="224" spans="1:11" x14ac:dyDescent="0.25">
      <c r="A224" t="s">
        <v>223</v>
      </c>
      <c r="B224" s="1">
        <v>45548</v>
      </c>
      <c r="C224">
        <f t="shared" si="8"/>
        <v>2024</v>
      </c>
      <c r="D224" t="str">
        <f t="shared" si="3"/>
        <v>September</v>
      </c>
      <c r="E224" t="str">
        <f t="shared" si="9"/>
        <v>Week2</v>
      </c>
      <c r="F224" t="s">
        <v>1086</v>
      </c>
      <c r="G224" t="s">
        <v>1011</v>
      </c>
      <c r="H224">
        <v>27000</v>
      </c>
      <c r="I224" t="s">
        <v>1028</v>
      </c>
      <c r="J224" t="s">
        <v>1030</v>
      </c>
      <c r="K224" t="s">
        <v>1031</v>
      </c>
    </row>
    <row r="225" spans="1:11" x14ac:dyDescent="0.25">
      <c r="A225" t="s">
        <v>224</v>
      </c>
      <c r="B225" s="1">
        <v>45544</v>
      </c>
      <c r="C225">
        <f t="shared" si="8"/>
        <v>2024</v>
      </c>
      <c r="D225" t="str">
        <f t="shared" si="3"/>
        <v>September</v>
      </c>
      <c r="E225" t="str">
        <f t="shared" si="9"/>
        <v>Week2</v>
      </c>
      <c r="F225" t="s">
        <v>1065</v>
      </c>
      <c r="G225" t="s">
        <v>1011</v>
      </c>
      <c r="H225">
        <v>30000</v>
      </c>
      <c r="I225" t="s">
        <v>1027</v>
      </c>
      <c r="J225" t="s">
        <v>1030</v>
      </c>
      <c r="K225" t="s">
        <v>1031</v>
      </c>
    </row>
    <row r="226" spans="1:11" x14ac:dyDescent="0.25">
      <c r="A226" t="s">
        <v>225</v>
      </c>
      <c r="B226" s="1">
        <v>45548</v>
      </c>
      <c r="C226">
        <f t="shared" si="8"/>
        <v>2024</v>
      </c>
      <c r="D226" t="str">
        <f t="shared" si="3"/>
        <v>September</v>
      </c>
      <c r="E226" t="str">
        <f t="shared" si="9"/>
        <v>Week2</v>
      </c>
      <c r="F226" t="s">
        <v>1099</v>
      </c>
      <c r="G226" t="s">
        <v>1198</v>
      </c>
      <c r="H226">
        <v>25000</v>
      </c>
      <c r="I226" t="s">
        <v>1027</v>
      </c>
      <c r="J226" t="s">
        <v>1030</v>
      </c>
      <c r="K226" t="s">
        <v>1031</v>
      </c>
    </row>
    <row r="227" spans="1:11" x14ac:dyDescent="0.25">
      <c r="A227" t="s">
        <v>226</v>
      </c>
      <c r="B227" s="1">
        <v>45544</v>
      </c>
      <c r="C227">
        <f t="shared" si="8"/>
        <v>2024</v>
      </c>
      <c r="D227" t="str">
        <f t="shared" si="3"/>
        <v>September</v>
      </c>
      <c r="E227" t="str">
        <f t="shared" si="9"/>
        <v>Week2</v>
      </c>
      <c r="F227" t="s">
        <v>1025</v>
      </c>
      <c r="G227" t="s">
        <v>1014</v>
      </c>
      <c r="H227">
        <v>5000</v>
      </c>
      <c r="I227" t="s">
        <v>1027</v>
      </c>
      <c r="J227" t="s">
        <v>1030</v>
      </c>
      <c r="K227" t="s">
        <v>1031</v>
      </c>
    </row>
    <row r="228" spans="1:11" x14ac:dyDescent="0.25">
      <c r="A228" t="s">
        <v>227</v>
      </c>
      <c r="B228" s="1">
        <v>45552</v>
      </c>
      <c r="C228">
        <f t="shared" si="8"/>
        <v>2024</v>
      </c>
      <c r="D228" t="str">
        <f t="shared" si="3"/>
        <v>September</v>
      </c>
      <c r="E228" t="str">
        <f t="shared" si="9"/>
        <v>Week3</v>
      </c>
      <c r="F228" t="s">
        <v>1065</v>
      </c>
      <c r="G228" t="s">
        <v>1011</v>
      </c>
      <c r="H228">
        <v>30000</v>
      </c>
      <c r="I228" t="s">
        <v>1028</v>
      </c>
      <c r="J228" t="s">
        <v>1030</v>
      </c>
      <c r="K228" t="s">
        <v>1031</v>
      </c>
    </row>
    <row r="229" spans="1:11" x14ac:dyDescent="0.25">
      <c r="A229" t="s">
        <v>228</v>
      </c>
      <c r="B229" s="1">
        <v>45554</v>
      </c>
      <c r="C229">
        <f t="shared" si="8"/>
        <v>2024</v>
      </c>
      <c r="D229" t="str">
        <f t="shared" si="3"/>
        <v>September</v>
      </c>
      <c r="E229" t="str">
        <f t="shared" si="9"/>
        <v>Week3</v>
      </c>
      <c r="F229" t="s">
        <v>1065</v>
      </c>
      <c r="G229" t="s">
        <v>1011</v>
      </c>
      <c r="H229">
        <v>30000</v>
      </c>
      <c r="I229" t="s">
        <v>1028</v>
      </c>
      <c r="J229" t="s">
        <v>1030</v>
      </c>
      <c r="K229" t="s">
        <v>1031</v>
      </c>
    </row>
    <row r="230" spans="1:11" x14ac:dyDescent="0.25">
      <c r="A230" t="s">
        <v>229</v>
      </c>
      <c r="B230" s="1">
        <v>45552</v>
      </c>
      <c r="C230">
        <f t="shared" si="8"/>
        <v>2024</v>
      </c>
      <c r="D230" t="str">
        <f t="shared" si="3"/>
        <v>September</v>
      </c>
      <c r="E230" t="str">
        <f t="shared" si="9"/>
        <v>Week3</v>
      </c>
      <c r="F230" t="s">
        <v>1035</v>
      </c>
      <c r="G230" t="s">
        <v>1197</v>
      </c>
      <c r="H230">
        <v>11000</v>
      </c>
      <c r="I230" t="s">
        <v>1027</v>
      </c>
      <c r="J230" t="s">
        <v>1030</v>
      </c>
      <c r="K230" t="s">
        <v>1031</v>
      </c>
    </row>
    <row r="231" spans="1:11" x14ac:dyDescent="0.25">
      <c r="A231" t="s">
        <v>230</v>
      </c>
      <c r="B231" s="1">
        <v>45552</v>
      </c>
      <c r="C231">
        <f t="shared" si="8"/>
        <v>2024</v>
      </c>
      <c r="D231" t="str">
        <f t="shared" si="3"/>
        <v>September</v>
      </c>
      <c r="E231" t="str">
        <f t="shared" si="9"/>
        <v>Week3</v>
      </c>
      <c r="F231" t="s">
        <v>1086</v>
      </c>
      <c r="G231" t="s">
        <v>1011</v>
      </c>
      <c r="H231">
        <v>27000</v>
      </c>
      <c r="I231" t="s">
        <v>1027</v>
      </c>
      <c r="J231" t="s">
        <v>1030</v>
      </c>
      <c r="K231" t="s">
        <v>1031</v>
      </c>
    </row>
    <row r="232" spans="1:11" x14ac:dyDescent="0.25">
      <c r="A232" t="s">
        <v>231</v>
      </c>
      <c r="B232" s="1">
        <v>45554</v>
      </c>
      <c r="C232">
        <f t="shared" si="8"/>
        <v>2024</v>
      </c>
      <c r="D232" t="str">
        <f t="shared" si="3"/>
        <v>September</v>
      </c>
      <c r="E232" t="str">
        <f t="shared" si="9"/>
        <v>Week3</v>
      </c>
      <c r="F232" t="s">
        <v>1100</v>
      </c>
      <c r="G232" t="s">
        <v>1010</v>
      </c>
      <c r="H232">
        <v>20000</v>
      </c>
      <c r="I232" t="s">
        <v>1027</v>
      </c>
      <c r="J232" t="s">
        <v>1030</v>
      </c>
      <c r="K232" t="s">
        <v>1031</v>
      </c>
    </row>
    <row r="233" spans="1:11" x14ac:dyDescent="0.25">
      <c r="A233" t="s">
        <v>232</v>
      </c>
      <c r="B233" s="1">
        <v>45554</v>
      </c>
      <c r="C233">
        <f t="shared" si="8"/>
        <v>2024</v>
      </c>
      <c r="D233" t="str">
        <f t="shared" si="3"/>
        <v>September</v>
      </c>
      <c r="E233" t="str">
        <f t="shared" si="9"/>
        <v>Week3</v>
      </c>
      <c r="F233" t="s">
        <v>1101</v>
      </c>
      <c r="G233" t="s">
        <v>1198</v>
      </c>
      <c r="H233">
        <v>65000</v>
      </c>
      <c r="I233" t="s">
        <v>1027</v>
      </c>
      <c r="J233" t="s">
        <v>1030</v>
      </c>
      <c r="K233" t="s">
        <v>1031</v>
      </c>
    </row>
    <row r="234" spans="1:11" x14ac:dyDescent="0.25">
      <c r="A234" t="s">
        <v>233</v>
      </c>
      <c r="B234" s="1">
        <v>45555</v>
      </c>
      <c r="C234">
        <f t="shared" si="8"/>
        <v>2024</v>
      </c>
      <c r="D234" t="str">
        <f t="shared" si="3"/>
        <v>September</v>
      </c>
      <c r="E234" t="str">
        <f t="shared" si="9"/>
        <v>Week3</v>
      </c>
      <c r="F234" t="s">
        <v>1086</v>
      </c>
      <c r="G234" t="s">
        <v>1011</v>
      </c>
      <c r="H234">
        <v>22000</v>
      </c>
      <c r="I234" t="s">
        <v>1027</v>
      </c>
      <c r="J234" t="s">
        <v>1030</v>
      </c>
      <c r="K234" t="s">
        <v>1031</v>
      </c>
    </row>
    <row r="235" spans="1:11" x14ac:dyDescent="0.25">
      <c r="A235" t="s">
        <v>234</v>
      </c>
      <c r="B235" s="1">
        <v>45559</v>
      </c>
      <c r="C235">
        <f t="shared" si="8"/>
        <v>2024</v>
      </c>
      <c r="D235" t="str">
        <f t="shared" si="3"/>
        <v>September</v>
      </c>
      <c r="E235" t="str">
        <f t="shared" si="9"/>
        <v>Week4</v>
      </c>
      <c r="F235" t="s">
        <v>1045</v>
      </c>
      <c r="G235" t="s">
        <v>1197</v>
      </c>
      <c r="H235">
        <v>64000</v>
      </c>
      <c r="I235" t="s">
        <v>1027</v>
      </c>
      <c r="J235" t="s">
        <v>1030</v>
      </c>
      <c r="K235" t="s">
        <v>1031</v>
      </c>
    </row>
    <row r="236" spans="1:11" x14ac:dyDescent="0.25">
      <c r="A236" t="s">
        <v>235</v>
      </c>
      <c r="B236" s="1">
        <v>45558</v>
      </c>
      <c r="C236">
        <f t="shared" si="8"/>
        <v>2024</v>
      </c>
      <c r="D236" t="str">
        <f t="shared" si="3"/>
        <v>September</v>
      </c>
      <c r="E236" t="str">
        <f t="shared" si="9"/>
        <v>Week4</v>
      </c>
      <c r="F236" t="s">
        <v>1065</v>
      </c>
      <c r="G236" t="s">
        <v>1011</v>
      </c>
      <c r="H236">
        <v>35000</v>
      </c>
      <c r="I236" t="s">
        <v>1027</v>
      </c>
      <c r="J236" t="s">
        <v>1030</v>
      </c>
      <c r="K236" t="s">
        <v>1031</v>
      </c>
    </row>
    <row r="237" spans="1:11" x14ac:dyDescent="0.25">
      <c r="A237" t="s">
        <v>236</v>
      </c>
      <c r="B237" s="1">
        <v>45559</v>
      </c>
      <c r="C237">
        <f t="shared" si="8"/>
        <v>2024</v>
      </c>
      <c r="D237" t="str">
        <f t="shared" si="3"/>
        <v>September</v>
      </c>
      <c r="E237" t="str">
        <f t="shared" si="9"/>
        <v>Week4</v>
      </c>
      <c r="F237" t="s">
        <v>1086</v>
      </c>
      <c r="G237" t="s">
        <v>1011</v>
      </c>
      <c r="H237">
        <v>25000</v>
      </c>
      <c r="I237" t="s">
        <v>1027</v>
      </c>
      <c r="J237" t="s">
        <v>1030</v>
      </c>
      <c r="K237" t="s">
        <v>1031</v>
      </c>
    </row>
    <row r="238" spans="1:11" x14ac:dyDescent="0.25">
      <c r="A238" t="s">
        <v>237</v>
      </c>
      <c r="B238" s="1">
        <v>45559</v>
      </c>
      <c r="C238">
        <f t="shared" si="8"/>
        <v>2024</v>
      </c>
      <c r="D238" t="str">
        <f t="shared" si="3"/>
        <v>September</v>
      </c>
      <c r="E238" t="str">
        <f t="shared" si="9"/>
        <v>Week4</v>
      </c>
      <c r="F238" t="s">
        <v>1046</v>
      </c>
      <c r="G238" t="s">
        <v>1014</v>
      </c>
      <c r="H238">
        <v>3900</v>
      </c>
      <c r="I238" t="s">
        <v>1028</v>
      </c>
      <c r="J238" t="s">
        <v>1030</v>
      </c>
      <c r="K238" t="s">
        <v>1031</v>
      </c>
    </row>
    <row r="239" spans="1:11" x14ac:dyDescent="0.25">
      <c r="A239" t="s">
        <v>238</v>
      </c>
      <c r="B239" s="1">
        <v>45560</v>
      </c>
      <c r="C239">
        <f t="shared" si="8"/>
        <v>2024</v>
      </c>
      <c r="D239" t="str">
        <f t="shared" si="3"/>
        <v>September</v>
      </c>
      <c r="E239" t="str">
        <f t="shared" si="9"/>
        <v>Week4</v>
      </c>
      <c r="F239" t="s">
        <v>1071</v>
      </c>
      <c r="G239" t="s">
        <v>1012</v>
      </c>
      <c r="H239">
        <v>37700</v>
      </c>
      <c r="I239" t="s">
        <v>1028</v>
      </c>
      <c r="J239" t="s">
        <v>1030</v>
      </c>
      <c r="K239" t="s">
        <v>1031</v>
      </c>
    </row>
    <row r="240" spans="1:11" x14ac:dyDescent="0.25">
      <c r="A240" t="s">
        <v>239</v>
      </c>
      <c r="B240" s="1">
        <v>45561</v>
      </c>
      <c r="C240">
        <f t="shared" si="8"/>
        <v>2024</v>
      </c>
      <c r="D240" t="str">
        <f t="shared" si="3"/>
        <v>September</v>
      </c>
      <c r="E240" t="str">
        <f t="shared" si="9"/>
        <v>Week4</v>
      </c>
      <c r="F240" t="s">
        <v>1065</v>
      </c>
      <c r="G240" t="s">
        <v>1011</v>
      </c>
      <c r="H240">
        <v>27000</v>
      </c>
      <c r="I240" t="s">
        <v>1027</v>
      </c>
      <c r="J240" t="s">
        <v>1030</v>
      </c>
      <c r="K240" t="s">
        <v>1031</v>
      </c>
    </row>
    <row r="241" spans="1:11" x14ac:dyDescent="0.25">
      <c r="A241" t="s">
        <v>240</v>
      </c>
      <c r="B241" s="1">
        <v>45561</v>
      </c>
      <c r="C241">
        <f t="shared" si="8"/>
        <v>2024</v>
      </c>
      <c r="D241" t="str">
        <f t="shared" si="3"/>
        <v>September</v>
      </c>
      <c r="E241" t="str">
        <f t="shared" si="9"/>
        <v>Week4</v>
      </c>
      <c r="F241" t="s">
        <v>1025</v>
      </c>
      <c r="G241" t="s">
        <v>1014</v>
      </c>
      <c r="H241">
        <v>5000</v>
      </c>
      <c r="I241" t="s">
        <v>1027</v>
      </c>
      <c r="J241" t="s">
        <v>1030</v>
      </c>
      <c r="K241" t="s">
        <v>1031</v>
      </c>
    </row>
    <row r="242" spans="1:11" x14ac:dyDescent="0.25">
      <c r="A242" t="s">
        <v>241</v>
      </c>
      <c r="B242" s="1">
        <v>45561</v>
      </c>
      <c r="C242">
        <f t="shared" si="8"/>
        <v>2024</v>
      </c>
      <c r="D242" t="str">
        <f t="shared" si="3"/>
        <v>September</v>
      </c>
      <c r="E242" t="str">
        <f t="shared" si="9"/>
        <v>Week4</v>
      </c>
      <c r="F242" t="s">
        <v>1018</v>
      </c>
      <c r="G242" t="s">
        <v>1013</v>
      </c>
      <c r="H242">
        <v>5000</v>
      </c>
      <c r="I242" t="s">
        <v>1027</v>
      </c>
      <c r="J242" t="s">
        <v>1030</v>
      </c>
      <c r="K242" t="s">
        <v>1031</v>
      </c>
    </row>
    <row r="243" spans="1:11" x14ac:dyDescent="0.25">
      <c r="A243" t="s">
        <v>242</v>
      </c>
      <c r="B243" s="1">
        <v>45562</v>
      </c>
      <c r="C243">
        <f t="shared" si="8"/>
        <v>2024</v>
      </c>
      <c r="D243" t="str">
        <f t="shared" si="3"/>
        <v>September</v>
      </c>
      <c r="E243" t="str">
        <f t="shared" si="9"/>
        <v>Week4</v>
      </c>
      <c r="F243" t="s">
        <v>1023</v>
      </c>
      <c r="G243" t="s">
        <v>1201</v>
      </c>
      <c r="H243">
        <v>7000</v>
      </c>
      <c r="I243" t="s">
        <v>1029</v>
      </c>
      <c r="J243" t="s">
        <v>1030</v>
      </c>
      <c r="K243" t="s">
        <v>1031</v>
      </c>
    </row>
    <row r="244" spans="1:11" x14ac:dyDescent="0.25">
      <c r="A244" t="s">
        <v>243</v>
      </c>
      <c r="B244" s="1">
        <v>45565</v>
      </c>
      <c r="C244">
        <f t="shared" si="8"/>
        <v>2024</v>
      </c>
      <c r="D244" t="str">
        <f t="shared" si="3"/>
        <v>September</v>
      </c>
      <c r="E244" t="str">
        <f t="shared" si="9"/>
        <v>Week5</v>
      </c>
      <c r="F244" t="s">
        <v>1018</v>
      </c>
      <c r="G244" t="s">
        <v>1013</v>
      </c>
      <c r="H244">
        <v>8000</v>
      </c>
      <c r="I244" t="s">
        <v>1027</v>
      </c>
      <c r="J244" t="s">
        <v>1030</v>
      </c>
      <c r="K244" t="s">
        <v>1031</v>
      </c>
    </row>
    <row r="245" spans="1:11" x14ac:dyDescent="0.25">
      <c r="A245" t="s">
        <v>244</v>
      </c>
      <c r="B245" s="1">
        <v>45565</v>
      </c>
      <c r="C245">
        <f t="shared" si="8"/>
        <v>2024</v>
      </c>
      <c r="D245" t="str">
        <f t="shared" si="3"/>
        <v>September</v>
      </c>
      <c r="E245" t="str">
        <f t="shared" si="9"/>
        <v>Week5</v>
      </c>
      <c r="F245" t="s">
        <v>1065</v>
      </c>
      <c r="G245" t="s">
        <v>1011</v>
      </c>
      <c r="H245">
        <v>35000</v>
      </c>
      <c r="I245" t="s">
        <v>1027</v>
      </c>
      <c r="J245" t="s">
        <v>1030</v>
      </c>
      <c r="K245" t="s">
        <v>1031</v>
      </c>
    </row>
    <row r="246" spans="1:11" x14ac:dyDescent="0.25">
      <c r="A246" t="s">
        <v>245</v>
      </c>
      <c r="B246" s="1">
        <v>45567</v>
      </c>
      <c r="C246">
        <f t="shared" si="8"/>
        <v>2024</v>
      </c>
      <c r="D246" t="str">
        <f t="shared" si="3"/>
        <v>October</v>
      </c>
      <c r="E246" t="str">
        <f t="shared" si="9"/>
        <v>Week1</v>
      </c>
      <c r="F246" t="s">
        <v>1086</v>
      </c>
      <c r="G246" t="s">
        <v>1011</v>
      </c>
      <c r="H246">
        <v>25000</v>
      </c>
      <c r="I246" t="s">
        <v>1027</v>
      </c>
      <c r="J246" t="s">
        <v>1030</v>
      </c>
      <c r="K246" t="s">
        <v>1031</v>
      </c>
    </row>
    <row r="247" spans="1:11" x14ac:dyDescent="0.25">
      <c r="A247" t="s">
        <v>246</v>
      </c>
      <c r="B247" s="1">
        <v>45565</v>
      </c>
      <c r="C247">
        <f t="shared" si="8"/>
        <v>2024</v>
      </c>
      <c r="D247" t="str">
        <f t="shared" si="3"/>
        <v>September</v>
      </c>
      <c r="E247" t="str">
        <f t="shared" si="9"/>
        <v>Week5</v>
      </c>
      <c r="F247" t="s">
        <v>1093</v>
      </c>
      <c r="G247" t="s">
        <v>1011</v>
      </c>
      <c r="H247">
        <v>24000</v>
      </c>
      <c r="I247" t="s">
        <v>1027</v>
      </c>
      <c r="J247" t="s">
        <v>1030</v>
      </c>
      <c r="K247" t="s">
        <v>1031</v>
      </c>
    </row>
    <row r="248" spans="1:11" x14ac:dyDescent="0.25">
      <c r="A248" t="s">
        <v>247</v>
      </c>
      <c r="B248" s="1">
        <v>45568</v>
      </c>
      <c r="C248">
        <f t="shared" si="8"/>
        <v>2024</v>
      </c>
      <c r="D248" t="str">
        <f t="shared" si="3"/>
        <v>October</v>
      </c>
      <c r="E248" t="str">
        <f t="shared" si="9"/>
        <v>Week1</v>
      </c>
      <c r="F248" t="s">
        <v>1065</v>
      </c>
      <c r="G248" t="s">
        <v>1011</v>
      </c>
      <c r="H248">
        <v>20000</v>
      </c>
      <c r="I248" t="s">
        <v>1028</v>
      </c>
      <c r="J248" t="s">
        <v>1030</v>
      </c>
      <c r="K248" t="s">
        <v>1031</v>
      </c>
    </row>
    <row r="249" spans="1:11" x14ac:dyDescent="0.25">
      <c r="A249" t="s">
        <v>248</v>
      </c>
      <c r="B249" s="1">
        <v>45568</v>
      </c>
      <c r="C249">
        <f t="shared" si="8"/>
        <v>2024</v>
      </c>
      <c r="D249" t="str">
        <f t="shared" si="3"/>
        <v>October</v>
      </c>
      <c r="E249" t="str">
        <f t="shared" si="9"/>
        <v>Week1</v>
      </c>
      <c r="F249" t="s">
        <v>1049</v>
      </c>
      <c r="G249" t="s">
        <v>1199</v>
      </c>
      <c r="H249">
        <v>20000</v>
      </c>
      <c r="I249" t="s">
        <v>1027</v>
      </c>
      <c r="J249" t="s">
        <v>1030</v>
      </c>
      <c r="K249" t="s">
        <v>1031</v>
      </c>
    </row>
    <row r="250" spans="1:11" x14ac:dyDescent="0.25">
      <c r="A250" t="s">
        <v>249</v>
      </c>
      <c r="B250" s="1">
        <v>45568</v>
      </c>
      <c r="C250">
        <f t="shared" si="8"/>
        <v>2024</v>
      </c>
      <c r="D250" t="str">
        <f t="shared" si="3"/>
        <v>October</v>
      </c>
      <c r="E250" t="str">
        <f t="shared" si="9"/>
        <v>Week1</v>
      </c>
      <c r="F250" t="s">
        <v>1033</v>
      </c>
      <c r="G250" t="s">
        <v>1014</v>
      </c>
      <c r="H250">
        <v>86630</v>
      </c>
      <c r="I250" t="s">
        <v>1028</v>
      </c>
      <c r="J250" t="s">
        <v>1030</v>
      </c>
      <c r="K250" t="s">
        <v>1031</v>
      </c>
    </row>
    <row r="251" spans="1:11" x14ac:dyDescent="0.25">
      <c r="A251" t="s">
        <v>250</v>
      </c>
      <c r="B251" s="1">
        <v>45569</v>
      </c>
      <c r="C251">
        <f t="shared" si="8"/>
        <v>2024</v>
      </c>
      <c r="D251" t="str">
        <f t="shared" si="3"/>
        <v>October</v>
      </c>
      <c r="E251" t="str">
        <f t="shared" si="9"/>
        <v>Week1</v>
      </c>
      <c r="F251" t="s">
        <v>1102</v>
      </c>
      <c r="G251" t="s">
        <v>1011</v>
      </c>
      <c r="H251">
        <v>22000</v>
      </c>
      <c r="I251" t="s">
        <v>1027</v>
      </c>
      <c r="J251" t="s">
        <v>1030</v>
      </c>
      <c r="K251" t="s">
        <v>1031</v>
      </c>
    </row>
    <row r="252" spans="1:11" x14ac:dyDescent="0.25">
      <c r="A252" t="s">
        <v>251</v>
      </c>
      <c r="B252" s="1">
        <v>45571</v>
      </c>
      <c r="C252">
        <f t="shared" si="8"/>
        <v>2024</v>
      </c>
      <c r="D252" t="str">
        <f t="shared" si="3"/>
        <v>October</v>
      </c>
      <c r="E252" t="str">
        <f t="shared" si="9"/>
        <v>Week1</v>
      </c>
      <c r="F252" t="s">
        <v>1018</v>
      </c>
      <c r="G252" t="s">
        <v>1013</v>
      </c>
      <c r="H252">
        <v>3000</v>
      </c>
      <c r="I252" t="s">
        <v>1027</v>
      </c>
      <c r="J252" t="s">
        <v>1030</v>
      </c>
      <c r="K252" t="s">
        <v>1031</v>
      </c>
    </row>
    <row r="253" spans="1:11" x14ac:dyDescent="0.25">
      <c r="A253" t="s">
        <v>252</v>
      </c>
      <c r="B253" s="1">
        <v>45565</v>
      </c>
      <c r="C253">
        <f t="shared" si="8"/>
        <v>2024</v>
      </c>
      <c r="D253" t="str">
        <f t="shared" si="3"/>
        <v>September</v>
      </c>
      <c r="E253" t="str">
        <f t="shared" si="9"/>
        <v>Week5</v>
      </c>
      <c r="F253" t="s">
        <v>1035</v>
      </c>
      <c r="G253" t="s">
        <v>1197</v>
      </c>
      <c r="H253">
        <v>11000</v>
      </c>
      <c r="I253" t="s">
        <v>1027</v>
      </c>
      <c r="J253" t="s">
        <v>1030</v>
      </c>
      <c r="K253" t="s">
        <v>1031</v>
      </c>
    </row>
    <row r="254" spans="1:11" x14ac:dyDescent="0.25">
      <c r="A254" t="s">
        <v>253</v>
      </c>
      <c r="B254" s="1">
        <v>45571</v>
      </c>
      <c r="C254">
        <f t="shared" si="8"/>
        <v>2024</v>
      </c>
      <c r="D254" t="str">
        <f t="shared" si="3"/>
        <v>October</v>
      </c>
      <c r="E254" t="str">
        <f t="shared" si="9"/>
        <v>Week1</v>
      </c>
      <c r="F254" t="s">
        <v>1035</v>
      </c>
      <c r="G254" t="s">
        <v>1197</v>
      </c>
      <c r="H254">
        <v>11000</v>
      </c>
      <c r="I254" t="s">
        <v>1027</v>
      </c>
      <c r="J254" t="s">
        <v>1030</v>
      </c>
      <c r="K254" t="s">
        <v>1031</v>
      </c>
    </row>
    <row r="255" spans="1:11" x14ac:dyDescent="0.25">
      <c r="A255" t="s">
        <v>254</v>
      </c>
      <c r="B255" s="1">
        <v>45572</v>
      </c>
      <c r="C255">
        <f t="shared" si="8"/>
        <v>2024</v>
      </c>
      <c r="D255" t="str">
        <f t="shared" si="3"/>
        <v>October</v>
      </c>
      <c r="E255" t="str">
        <f t="shared" si="9"/>
        <v>Week1</v>
      </c>
      <c r="F255" t="s">
        <v>1037</v>
      </c>
      <c r="G255" t="s">
        <v>1199</v>
      </c>
      <c r="H255">
        <v>20000</v>
      </c>
      <c r="I255" t="s">
        <v>1027</v>
      </c>
      <c r="J255" t="s">
        <v>1030</v>
      </c>
      <c r="K255" t="s">
        <v>1031</v>
      </c>
    </row>
    <row r="256" spans="1:11" x14ac:dyDescent="0.25">
      <c r="A256" t="s">
        <v>255</v>
      </c>
      <c r="B256" s="1">
        <v>45576</v>
      </c>
      <c r="C256">
        <f t="shared" si="8"/>
        <v>2024</v>
      </c>
      <c r="D256" t="str">
        <f t="shared" si="3"/>
        <v>October</v>
      </c>
      <c r="E256" t="str">
        <f t="shared" si="9"/>
        <v>Week2</v>
      </c>
      <c r="F256" t="s">
        <v>1103</v>
      </c>
      <c r="G256" t="s">
        <v>1015</v>
      </c>
      <c r="H256">
        <v>7000</v>
      </c>
      <c r="I256" t="s">
        <v>1027</v>
      </c>
      <c r="J256" t="s">
        <v>1030</v>
      </c>
      <c r="K256" t="s">
        <v>1031</v>
      </c>
    </row>
    <row r="257" spans="1:11" x14ac:dyDescent="0.25">
      <c r="A257" t="s">
        <v>256</v>
      </c>
      <c r="B257" s="1">
        <v>45573</v>
      </c>
      <c r="C257">
        <f t="shared" si="8"/>
        <v>2024</v>
      </c>
      <c r="D257" t="str">
        <f t="shared" si="3"/>
        <v>October</v>
      </c>
      <c r="E257" t="str">
        <f t="shared" si="9"/>
        <v>Week2</v>
      </c>
      <c r="F257" t="s">
        <v>1104</v>
      </c>
      <c r="G257" t="s">
        <v>1010</v>
      </c>
      <c r="H257">
        <v>7000</v>
      </c>
      <c r="I257" t="s">
        <v>1027</v>
      </c>
      <c r="J257" t="s">
        <v>1030</v>
      </c>
      <c r="K257" t="s">
        <v>1031</v>
      </c>
    </row>
    <row r="258" spans="1:11" x14ac:dyDescent="0.25">
      <c r="A258" t="s">
        <v>257</v>
      </c>
      <c r="B258" s="1">
        <v>45574</v>
      </c>
      <c r="C258">
        <f t="shared" si="8"/>
        <v>2024</v>
      </c>
      <c r="D258" t="str">
        <f t="shared" si="3"/>
        <v>October</v>
      </c>
      <c r="E258" t="str">
        <f t="shared" si="9"/>
        <v>Week2</v>
      </c>
      <c r="F258" t="s">
        <v>1040</v>
      </c>
      <c r="G258" t="s">
        <v>1199</v>
      </c>
      <c r="H258">
        <v>20000</v>
      </c>
      <c r="I258" t="s">
        <v>1027</v>
      </c>
      <c r="J258" t="s">
        <v>1030</v>
      </c>
      <c r="K258" t="s">
        <v>1031</v>
      </c>
    </row>
    <row r="259" spans="1:11" x14ac:dyDescent="0.25">
      <c r="A259" t="s">
        <v>258</v>
      </c>
      <c r="B259" s="1">
        <v>45579</v>
      </c>
      <c r="C259">
        <f t="shared" si="8"/>
        <v>2024</v>
      </c>
      <c r="D259" t="str">
        <f t="shared" si="3"/>
        <v>October</v>
      </c>
      <c r="E259" t="str">
        <f t="shared" si="9"/>
        <v>Week2</v>
      </c>
      <c r="F259" t="s">
        <v>1018</v>
      </c>
      <c r="G259" t="s">
        <v>1013</v>
      </c>
      <c r="H259">
        <v>2000</v>
      </c>
      <c r="I259" t="s">
        <v>1027</v>
      </c>
      <c r="J259" t="s">
        <v>1030</v>
      </c>
      <c r="K259" t="s">
        <v>1031</v>
      </c>
    </row>
    <row r="260" spans="1:11" x14ac:dyDescent="0.25">
      <c r="A260" t="s">
        <v>259</v>
      </c>
      <c r="B260" s="1">
        <v>45579</v>
      </c>
      <c r="C260">
        <f t="shared" si="8"/>
        <v>2024</v>
      </c>
      <c r="D260" t="str">
        <f t="shared" si="3"/>
        <v>October</v>
      </c>
      <c r="E260" t="str">
        <f t="shared" si="9"/>
        <v>Week2</v>
      </c>
      <c r="F260" t="s">
        <v>1065</v>
      </c>
      <c r="G260" t="s">
        <v>1011</v>
      </c>
      <c r="H260">
        <v>25000</v>
      </c>
      <c r="I260" t="s">
        <v>1027</v>
      </c>
      <c r="J260" t="s">
        <v>1030</v>
      </c>
      <c r="K260" t="s">
        <v>1031</v>
      </c>
    </row>
    <row r="261" spans="1:11" x14ac:dyDescent="0.25">
      <c r="A261" t="s">
        <v>260</v>
      </c>
      <c r="B261" s="1">
        <v>45579</v>
      </c>
      <c r="C261">
        <f t="shared" si="8"/>
        <v>2024</v>
      </c>
      <c r="D261" t="str">
        <f t="shared" si="3"/>
        <v>October</v>
      </c>
      <c r="E261" t="str">
        <f t="shared" si="9"/>
        <v>Week2</v>
      </c>
      <c r="F261" t="s">
        <v>1035</v>
      </c>
      <c r="G261" t="s">
        <v>1197</v>
      </c>
      <c r="H261">
        <v>11000</v>
      </c>
      <c r="I261" t="s">
        <v>1027</v>
      </c>
      <c r="J261" t="s">
        <v>1030</v>
      </c>
      <c r="K261" t="s">
        <v>1031</v>
      </c>
    </row>
    <row r="262" spans="1:11" x14ac:dyDescent="0.25">
      <c r="A262" t="s">
        <v>261</v>
      </c>
      <c r="B262" s="1">
        <v>45580</v>
      </c>
      <c r="C262">
        <f t="shared" si="8"/>
        <v>2024</v>
      </c>
      <c r="D262" t="str">
        <f t="shared" si="3"/>
        <v>October</v>
      </c>
      <c r="E262" t="str">
        <f t="shared" si="9"/>
        <v>Week3</v>
      </c>
      <c r="F262" t="s">
        <v>1021</v>
      </c>
      <c r="G262" t="s">
        <v>1010</v>
      </c>
      <c r="H262">
        <v>3000</v>
      </c>
      <c r="I262" t="s">
        <v>1029</v>
      </c>
      <c r="J262" t="s">
        <v>1030</v>
      </c>
      <c r="K262" t="s">
        <v>1031</v>
      </c>
    </row>
    <row r="263" spans="1:11" x14ac:dyDescent="0.25">
      <c r="A263" t="s">
        <v>262</v>
      </c>
      <c r="B263" s="1">
        <v>45582</v>
      </c>
      <c r="C263">
        <f t="shared" si="8"/>
        <v>2024</v>
      </c>
      <c r="D263" t="str">
        <f t="shared" si="3"/>
        <v>October</v>
      </c>
      <c r="E263" t="str">
        <f t="shared" si="9"/>
        <v>Week3</v>
      </c>
      <c r="F263" t="s">
        <v>1093</v>
      </c>
      <c r="G263" t="s">
        <v>1011</v>
      </c>
      <c r="H263">
        <v>24000</v>
      </c>
      <c r="I263" t="s">
        <v>1028</v>
      </c>
      <c r="J263" t="s">
        <v>1030</v>
      </c>
      <c r="K263" t="s">
        <v>1031</v>
      </c>
    </row>
    <row r="264" spans="1:11" x14ac:dyDescent="0.25">
      <c r="A264" t="s">
        <v>263</v>
      </c>
      <c r="B264" s="1">
        <v>45582</v>
      </c>
      <c r="C264">
        <f t="shared" si="8"/>
        <v>2024</v>
      </c>
      <c r="D264" t="str">
        <f t="shared" si="3"/>
        <v>October</v>
      </c>
      <c r="E264" t="str">
        <f t="shared" si="9"/>
        <v>Week3</v>
      </c>
      <c r="F264" t="s">
        <v>1065</v>
      </c>
      <c r="G264" t="s">
        <v>1011</v>
      </c>
      <c r="H264">
        <v>35000</v>
      </c>
      <c r="I264" t="s">
        <v>1027</v>
      </c>
      <c r="J264" t="s">
        <v>1030</v>
      </c>
      <c r="K264" t="s">
        <v>1031</v>
      </c>
    </row>
    <row r="265" spans="1:11" x14ac:dyDescent="0.25">
      <c r="A265" t="s">
        <v>264</v>
      </c>
      <c r="B265" s="1">
        <v>45583</v>
      </c>
      <c r="C265">
        <f t="shared" si="8"/>
        <v>2024</v>
      </c>
      <c r="D265" t="str">
        <f t="shared" si="3"/>
        <v>October</v>
      </c>
      <c r="E265" t="str">
        <f t="shared" si="9"/>
        <v>Week3</v>
      </c>
      <c r="F265" t="s">
        <v>1105</v>
      </c>
      <c r="G265" t="s">
        <v>1010</v>
      </c>
      <c r="H265">
        <v>6000</v>
      </c>
      <c r="I265" t="s">
        <v>1027</v>
      </c>
      <c r="J265" t="s">
        <v>1030</v>
      </c>
      <c r="K265" t="s">
        <v>1031</v>
      </c>
    </row>
    <row r="266" spans="1:11" x14ac:dyDescent="0.25">
      <c r="A266" t="s">
        <v>265</v>
      </c>
      <c r="B266" s="1">
        <v>45579</v>
      </c>
      <c r="C266">
        <f t="shared" si="8"/>
        <v>2024</v>
      </c>
      <c r="D266" t="str">
        <f t="shared" si="3"/>
        <v>October</v>
      </c>
      <c r="E266" t="str">
        <f t="shared" si="9"/>
        <v>Week2</v>
      </c>
      <c r="F266" t="s">
        <v>1025</v>
      </c>
      <c r="G266" t="s">
        <v>1014</v>
      </c>
      <c r="H266">
        <v>5000</v>
      </c>
      <c r="I266" t="s">
        <v>1027</v>
      </c>
      <c r="J266" t="s">
        <v>1030</v>
      </c>
      <c r="K266" t="s">
        <v>1031</v>
      </c>
    </row>
    <row r="267" spans="1:11" x14ac:dyDescent="0.25">
      <c r="A267" t="s">
        <v>266</v>
      </c>
      <c r="B267" s="1">
        <v>45586</v>
      </c>
      <c r="C267">
        <f t="shared" si="8"/>
        <v>2024</v>
      </c>
      <c r="D267" t="str">
        <f t="shared" si="3"/>
        <v>October</v>
      </c>
      <c r="E267" t="str">
        <f t="shared" si="9"/>
        <v>Week3</v>
      </c>
      <c r="F267" t="s">
        <v>1093</v>
      </c>
      <c r="G267" t="s">
        <v>1011</v>
      </c>
      <c r="H267">
        <v>25000</v>
      </c>
      <c r="I267" t="s">
        <v>1027</v>
      </c>
      <c r="J267" t="s">
        <v>1030</v>
      </c>
      <c r="K267" t="s">
        <v>1031</v>
      </c>
    </row>
    <row r="268" spans="1:11" x14ac:dyDescent="0.25">
      <c r="A268" t="s">
        <v>267</v>
      </c>
      <c r="B268" s="1">
        <v>45586</v>
      </c>
      <c r="C268">
        <f t="shared" si="8"/>
        <v>2024</v>
      </c>
      <c r="D268" t="str">
        <f t="shared" si="3"/>
        <v>October</v>
      </c>
      <c r="E268" t="str">
        <f t="shared" si="9"/>
        <v>Week3</v>
      </c>
      <c r="F268" t="s">
        <v>1035</v>
      </c>
      <c r="G268" t="s">
        <v>1197</v>
      </c>
      <c r="H268">
        <v>11000</v>
      </c>
      <c r="I268" t="s">
        <v>1027</v>
      </c>
      <c r="J268" t="s">
        <v>1030</v>
      </c>
      <c r="K268" t="s">
        <v>1031</v>
      </c>
    </row>
    <row r="269" spans="1:11" x14ac:dyDescent="0.25">
      <c r="A269" t="s">
        <v>268</v>
      </c>
      <c r="B269" s="1">
        <v>45586</v>
      </c>
      <c r="C269">
        <f t="shared" si="8"/>
        <v>2024</v>
      </c>
      <c r="D269" t="str">
        <f t="shared" si="3"/>
        <v>October</v>
      </c>
      <c r="E269" t="str">
        <f t="shared" si="9"/>
        <v>Week3</v>
      </c>
      <c r="F269" t="s">
        <v>1065</v>
      </c>
      <c r="G269" t="s">
        <v>1011</v>
      </c>
      <c r="H269">
        <v>35000</v>
      </c>
      <c r="I269" t="s">
        <v>1027</v>
      </c>
      <c r="J269" t="s">
        <v>1030</v>
      </c>
      <c r="K269" t="s">
        <v>1031</v>
      </c>
    </row>
    <row r="270" spans="1:11" x14ac:dyDescent="0.25">
      <c r="A270" t="s">
        <v>269</v>
      </c>
      <c r="B270" s="1">
        <v>45588</v>
      </c>
      <c r="C270">
        <f t="shared" si="8"/>
        <v>2024</v>
      </c>
      <c r="D270" t="str">
        <f t="shared" si="3"/>
        <v>October</v>
      </c>
      <c r="E270" t="str">
        <f t="shared" si="9"/>
        <v>Week4</v>
      </c>
      <c r="F270" t="s">
        <v>1106</v>
      </c>
      <c r="G270" t="s">
        <v>1010</v>
      </c>
      <c r="H270">
        <v>7000</v>
      </c>
      <c r="I270" t="s">
        <v>1027</v>
      </c>
      <c r="J270" t="s">
        <v>1030</v>
      </c>
      <c r="K270" t="s">
        <v>1031</v>
      </c>
    </row>
    <row r="271" spans="1:11" x14ac:dyDescent="0.25">
      <c r="A271" t="s">
        <v>270</v>
      </c>
      <c r="B271" s="1">
        <v>45589</v>
      </c>
      <c r="C271">
        <f t="shared" si="8"/>
        <v>2024</v>
      </c>
      <c r="D271" t="str">
        <f t="shared" si="3"/>
        <v>October</v>
      </c>
      <c r="E271" t="str">
        <f t="shared" si="9"/>
        <v>Week4</v>
      </c>
      <c r="F271" t="s">
        <v>1065</v>
      </c>
      <c r="G271" t="s">
        <v>1011</v>
      </c>
      <c r="H271">
        <v>25000</v>
      </c>
      <c r="I271" t="s">
        <v>1027</v>
      </c>
      <c r="J271" t="s">
        <v>1030</v>
      </c>
      <c r="K271" t="s">
        <v>1031</v>
      </c>
    </row>
    <row r="272" spans="1:11" x14ac:dyDescent="0.25">
      <c r="A272" t="s">
        <v>271</v>
      </c>
      <c r="B272" s="1">
        <v>45593</v>
      </c>
      <c r="C272">
        <f t="shared" si="8"/>
        <v>2024</v>
      </c>
      <c r="D272" t="str">
        <f t="shared" si="3"/>
        <v>October</v>
      </c>
      <c r="E272" t="str">
        <f t="shared" si="9"/>
        <v>Week4</v>
      </c>
      <c r="F272" t="s">
        <v>1065</v>
      </c>
      <c r="G272" t="s">
        <v>1011</v>
      </c>
      <c r="H272">
        <v>35000</v>
      </c>
      <c r="I272" t="s">
        <v>1028</v>
      </c>
      <c r="J272" t="s">
        <v>1030</v>
      </c>
      <c r="K272" t="s">
        <v>1031</v>
      </c>
    </row>
    <row r="273" spans="1:11" x14ac:dyDescent="0.25">
      <c r="A273" t="s">
        <v>272</v>
      </c>
      <c r="B273" s="1">
        <v>45593</v>
      </c>
      <c r="C273">
        <f t="shared" si="8"/>
        <v>2024</v>
      </c>
      <c r="D273" t="str">
        <f t="shared" si="3"/>
        <v>October</v>
      </c>
      <c r="E273" t="str">
        <f t="shared" si="9"/>
        <v>Week4</v>
      </c>
      <c r="F273" t="s">
        <v>1025</v>
      </c>
      <c r="G273" t="s">
        <v>1014</v>
      </c>
      <c r="H273">
        <v>5000</v>
      </c>
      <c r="I273" t="s">
        <v>1027</v>
      </c>
      <c r="J273" t="s">
        <v>1030</v>
      </c>
      <c r="K273" t="s">
        <v>1031</v>
      </c>
    </row>
    <row r="274" spans="1:11" x14ac:dyDescent="0.25">
      <c r="A274" t="s">
        <v>273</v>
      </c>
      <c r="B274" s="1">
        <v>45594</v>
      </c>
      <c r="C274">
        <f t="shared" si="8"/>
        <v>2024</v>
      </c>
      <c r="D274" t="str">
        <f t="shared" si="3"/>
        <v>October</v>
      </c>
      <c r="E274" t="str">
        <f t="shared" si="9"/>
        <v>Week5</v>
      </c>
      <c r="F274" t="s">
        <v>1093</v>
      </c>
      <c r="G274" t="s">
        <v>1011</v>
      </c>
      <c r="H274">
        <v>25000</v>
      </c>
      <c r="I274" t="s">
        <v>1027</v>
      </c>
      <c r="J274" t="s">
        <v>1030</v>
      </c>
      <c r="K274" t="s">
        <v>1031</v>
      </c>
    </row>
    <row r="275" spans="1:11" x14ac:dyDescent="0.25">
      <c r="A275" t="s">
        <v>274</v>
      </c>
      <c r="B275" s="1">
        <v>45594</v>
      </c>
      <c r="C275">
        <f t="shared" si="8"/>
        <v>2024</v>
      </c>
      <c r="D275" t="str">
        <f t="shared" si="3"/>
        <v>October</v>
      </c>
      <c r="E275" t="str">
        <f t="shared" si="9"/>
        <v>Week5</v>
      </c>
      <c r="F275" t="s">
        <v>1035</v>
      </c>
      <c r="G275" t="s">
        <v>1197</v>
      </c>
      <c r="H275">
        <v>11000</v>
      </c>
      <c r="I275" t="s">
        <v>1027</v>
      </c>
      <c r="J275" t="s">
        <v>1030</v>
      </c>
      <c r="K275" t="s">
        <v>1031</v>
      </c>
    </row>
    <row r="276" spans="1:11" x14ac:dyDescent="0.25">
      <c r="A276" t="s">
        <v>275</v>
      </c>
      <c r="B276" s="1">
        <v>45595</v>
      </c>
      <c r="C276">
        <f t="shared" si="8"/>
        <v>2024</v>
      </c>
      <c r="D276" t="str">
        <f t="shared" si="3"/>
        <v>October</v>
      </c>
      <c r="E276" t="str">
        <f t="shared" si="9"/>
        <v>Week5</v>
      </c>
      <c r="F276" t="s">
        <v>1018</v>
      </c>
      <c r="G276" t="s">
        <v>1013</v>
      </c>
      <c r="H276">
        <v>2000</v>
      </c>
      <c r="I276" t="s">
        <v>1027</v>
      </c>
      <c r="J276" t="s">
        <v>1030</v>
      </c>
      <c r="K276" t="s">
        <v>1031</v>
      </c>
    </row>
    <row r="277" spans="1:11" x14ac:dyDescent="0.25">
      <c r="A277" t="s">
        <v>276</v>
      </c>
      <c r="B277" s="1">
        <v>45595</v>
      </c>
      <c r="C277">
        <f t="shared" si="8"/>
        <v>2024</v>
      </c>
      <c r="D277" t="str">
        <f t="shared" ref="D277:D531" si="10">TEXT(B277,"mmmm")</f>
        <v>October</v>
      </c>
      <c r="E277" t="str">
        <f t="shared" si="9"/>
        <v>Week5</v>
      </c>
      <c r="F277" t="s">
        <v>1023</v>
      </c>
      <c r="G277" t="s">
        <v>1201</v>
      </c>
      <c r="H277">
        <v>7000</v>
      </c>
      <c r="I277" t="s">
        <v>1027</v>
      </c>
      <c r="J277" t="s">
        <v>1030</v>
      </c>
      <c r="K277" t="s">
        <v>1031</v>
      </c>
    </row>
    <row r="278" spans="1:11" x14ac:dyDescent="0.25">
      <c r="A278" t="s">
        <v>277</v>
      </c>
      <c r="B278" s="1">
        <v>45596</v>
      </c>
      <c r="C278">
        <f t="shared" si="8"/>
        <v>2024</v>
      </c>
      <c r="D278" t="str">
        <f t="shared" si="10"/>
        <v>October</v>
      </c>
      <c r="E278" t="str">
        <f t="shared" si="9"/>
        <v>Week5</v>
      </c>
      <c r="F278" t="s">
        <v>1102</v>
      </c>
      <c r="G278" t="s">
        <v>1011</v>
      </c>
      <c r="H278">
        <v>28000</v>
      </c>
      <c r="I278" t="s">
        <v>1027</v>
      </c>
      <c r="J278" t="s">
        <v>1030</v>
      </c>
      <c r="K278" t="s">
        <v>1031</v>
      </c>
    </row>
    <row r="279" spans="1:11" x14ac:dyDescent="0.25">
      <c r="A279" t="s">
        <v>278</v>
      </c>
      <c r="B279" s="1">
        <v>45596</v>
      </c>
      <c r="C279">
        <f t="shared" si="8"/>
        <v>2024</v>
      </c>
      <c r="D279" t="str">
        <f t="shared" si="10"/>
        <v>October</v>
      </c>
      <c r="E279" t="str">
        <f t="shared" si="9"/>
        <v>Week5</v>
      </c>
      <c r="F279" t="s">
        <v>1065</v>
      </c>
      <c r="G279" t="s">
        <v>1011</v>
      </c>
      <c r="H279">
        <v>25000</v>
      </c>
      <c r="I279" t="s">
        <v>1027</v>
      </c>
      <c r="J279" t="s">
        <v>1030</v>
      </c>
      <c r="K279" t="s">
        <v>1031</v>
      </c>
    </row>
    <row r="280" spans="1:11" x14ac:dyDescent="0.25">
      <c r="A280" t="s">
        <v>279</v>
      </c>
      <c r="B280" s="1">
        <v>45595</v>
      </c>
      <c r="C280">
        <f t="shared" si="8"/>
        <v>2024</v>
      </c>
      <c r="D280" t="str">
        <f t="shared" si="10"/>
        <v>October</v>
      </c>
      <c r="E280" t="str">
        <f t="shared" si="9"/>
        <v>Week5</v>
      </c>
      <c r="F280" t="s">
        <v>1106</v>
      </c>
      <c r="G280" t="s">
        <v>1010</v>
      </c>
      <c r="H280">
        <v>7000</v>
      </c>
      <c r="I280" t="s">
        <v>1027</v>
      </c>
      <c r="J280" t="s">
        <v>1030</v>
      </c>
      <c r="K280" t="s">
        <v>1031</v>
      </c>
    </row>
    <row r="281" spans="1:11" x14ac:dyDescent="0.25">
      <c r="A281" t="s">
        <v>280</v>
      </c>
      <c r="B281" s="1">
        <v>45595</v>
      </c>
      <c r="C281">
        <f t="shared" si="8"/>
        <v>2024</v>
      </c>
      <c r="D281" t="str">
        <f t="shared" si="10"/>
        <v>October</v>
      </c>
      <c r="E281" t="str">
        <f t="shared" si="9"/>
        <v>Week5</v>
      </c>
      <c r="F281" t="s">
        <v>1046</v>
      </c>
      <c r="G281" t="s">
        <v>1014</v>
      </c>
      <c r="H281">
        <v>4300</v>
      </c>
      <c r="I281" t="s">
        <v>1028</v>
      </c>
      <c r="J281" t="s">
        <v>1030</v>
      </c>
      <c r="K281" t="s">
        <v>1031</v>
      </c>
    </row>
    <row r="282" spans="1:11" x14ac:dyDescent="0.25">
      <c r="A282" t="s">
        <v>281</v>
      </c>
      <c r="B282" s="1">
        <v>45600</v>
      </c>
      <c r="C282">
        <f t="shared" si="8"/>
        <v>2024</v>
      </c>
      <c r="D282" t="str">
        <f t="shared" si="10"/>
        <v>November</v>
      </c>
      <c r="E282" t="str">
        <f t="shared" si="9"/>
        <v>Week1</v>
      </c>
      <c r="F282" t="s">
        <v>1035</v>
      </c>
      <c r="G282" t="s">
        <v>1197</v>
      </c>
      <c r="H282">
        <v>11000</v>
      </c>
      <c r="I282" t="s">
        <v>1027</v>
      </c>
      <c r="J282" t="s">
        <v>1030</v>
      </c>
      <c r="K282" t="s">
        <v>1031</v>
      </c>
    </row>
    <row r="283" spans="1:11" x14ac:dyDescent="0.25">
      <c r="A283" t="s">
        <v>282</v>
      </c>
      <c r="B283" s="1">
        <v>45600</v>
      </c>
      <c r="C283">
        <f t="shared" si="8"/>
        <v>2024</v>
      </c>
      <c r="D283" t="str">
        <f t="shared" si="10"/>
        <v>November</v>
      </c>
      <c r="E283" t="str">
        <f t="shared" si="9"/>
        <v>Week1</v>
      </c>
      <c r="F283" t="s">
        <v>1033</v>
      </c>
      <c r="G283" t="s">
        <v>1014</v>
      </c>
      <c r="H283">
        <v>77920</v>
      </c>
      <c r="I283" t="s">
        <v>1027</v>
      </c>
      <c r="J283" t="s">
        <v>1030</v>
      </c>
      <c r="K283" t="s">
        <v>1031</v>
      </c>
    </row>
    <row r="284" spans="1:11" x14ac:dyDescent="0.25">
      <c r="A284" t="s">
        <v>283</v>
      </c>
      <c r="B284" s="1">
        <v>45600</v>
      </c>
      <c r="C284">
        <f t="shared" si="8"/>
        <v>2024</v>
      </c>
      <c r="D284" t="str">
        <f t="shared" si="10"/>
        <v>November</v>
      </c>
      <c r="E284" t="str">
        <f t="shared" si="9"/>
        <v>Week1</v>
      </c>
      <c r="F284" t="s">
        <v>1102</v>
      </c>
      <c r="G284" t="s">
        <v>1011</v>
      </c>
      <c r="H284">
        <v>29000</v>
      </c>
      <c r="I284" t="s">
        <v>1027</v>
      </c>
      <c r="J284" t="s">
        <v>1030</v>
      </c>
      <c r="K284" t="s">
        <v>1031</v>
      </c>
    </row>
    <row r="285" spans="1:11" x14ac:dyDescent="0.25">
      <c r="A285" t="s">
        <v>284</v>
      </c>
      <c r="B285" s="1">
        <v>45601</v>
      </c>
      <c r="C285">
        <f t="shared" si="8"/>
        <v>2024</v>
      </c>
      <c r="D285" t="str">
        <f t="shared" si="10"/>
        <v>November</v>
      </c>
      <c r="E285" t="str">
        <f t="shared" si="9"/>
        <v>Week1</v>
      </c>
      <c r="F285" t="s">
        <v>1018</v>
      </c>
      <c r="G285" t="s">
        <v>1013</v>
      </c>
      <c r="H285">
        <v>3000</v>
      </c>
      <c r="I285" t="s">
        <v>1027</v>
      </c>
      <c r="J285" t="s">
        <v>1030</v>
      </c>
      <c r="K285" t="s">
        <v>1031</v>
      </c>
    </row>
    <row r="286" spans="1:11" x14ac:dyDescent="0.25">
      <c r="A286" t="s">
        <v>285</v>
      </c>
      <c r="B286" s="1">
        <v>45601</v>
      </c>
      <c r="C286">
        <f t="shared" si="8"/>
        <v>2024</v>
      </c>
      <c r="D286" t="str">
        <f t="shared" si="10"/>
        <v>November</v>
      </c>
      <c r="E286" t="str">
        <f t="shared" si="9"/>
        <v>Week1</v>
      </c>
      <c r="F286" t="s">
        <v>1018</v>
      </c>
      <c r="G286" t="s">
        <v>1013</v>
      </c>
      <c r="H286">
        <v>5000</v>
      </c>
      <c r="I286" t="s">
        <v>1027</v>
      </c>
      <c r="J286" t="s">
        <v>1030</v>
      </c>
      <c r="K286" t="s">
        <v>1031</v>
      </c>
    </row>
    <row r="287" spans="1:11" x14ac:dyDescent="0.25">
      <c r="A287" t="s">
        <v>286</v>
      </c>
      <c r="B287" s="1">
        <v>45602</v>
      </c>
      <c r="C287">
        <f t="shared" si="8"/>
        <v>2024</v>
      </c>
      <c r="D287" t="str">
        <f t="shared" si="10"/>
        <v>November</v>
      </c>
      <c r="E287" t="str">
        <f t="shared" si="9"/>
        <v>Week1</v>
      </c>
      <c r="F287" t="s">
        <v>1049</v>
      </c>
      <c r="G287" t="s">
        <v>1199</v>
      </c>
      <c r="H287">
        <v>20000</v>
      </c>
      <c r="I287" t="s">
        <v>1027</v>
      </c>
      <c r="J287" t="s">
        <v>1030</v>
      </c>
      <c r="K287" t="s">
        <v>1031</v>
      </c>
    </row>
    <row r="288" spans="1:11" x14ac:dyDescent="0.25">
      <c r="A288" t="s">
        <v>287</v>
      </c>
      <c r="B288" s="1">
        <v>45604</v>
      </c>
      <c r="C288">
        <f t="shared" si="8"/>
        <v>2024</v>
      </c>
      <c r="D288" t="str">
        <f t="shared" si="10"/>
        <v>November</v>
      </c>
      <c r="E288" t="str">
        <f t="shared" si="9"/>
        <v>Week2</v>
      </c>
      <c r="F288" t="s">
        <v>1037</v>
      </c>
      <c r="G288" t="s">
        <v>1199</v>
      </c>
      <c r="H288">
        <v>20000</v>
      </c>
      <c r="I288" t="s">
        <v>1027</v>
      </c>
      <c r="J288" t="s">
        <v>1030</v>
      </c>
      <c r="K288" t="s">
        <v>1031</v>
      </c>
    </row>
    <row r="289" spans="1:11" x14ac:dyDescent="0.25">
      <c r="A289" t="s">
        <v>288</v>
      </c>
      <c r="B289" s="1">
        <v>45604</v>
      </c>
      <c r="C289">
        <f t="shared" si="8"/>
        <v>2024</v>
      </c>
      <c r="D289" t="str">
        <f t="shared" si="10"/>
        <v>November</v>
      </c>
      <c r="E289" t="str">
        <f t="shared" si="9"/>
        <v>Week2</v>
      </c>
      <c r="F289" t="s">
        <v>1107</v>
      </c>
      <c r="G289" t="s">
        <v>1015</v>
      </c>
      <c r="H289">
        <v>10000</v>
      </c>
      <c r="I289" t="s">
        <v>1029</v>
      </c>
      <c r="J289" t="s">
        <v>1030</v>
      </c>
      <c r="K289" t="s">
        <v>1031</v>
      </c>
    </row>
    <row r="290" spans="1:11" x14ac:dyDescent="0.25">
      <c r="A290" t="s">
        <v>289</v>
      </c>
      <c r="B290" s="1">
        <v>45603</v>
      </c>
      <c r="C290">
        <f t="shared" si="8"/>
        <v>2024</v>
      </c>
      <c r="D290" t="str">
        <f t="shared" si="10"/>
        <v>November</v>
      </c>
      <c r="E290" t="str">
        <f t="shared" si="9"/>
        <v>Week1</v>
      </c>
      <c r="F290" t="s">
        <v>1108</v>
      </c>
      <c r="G290" t="s">
        <v>1015</v>
      </c>
      <c r="H290">
        <v>7000</v>
      </c>
      <c r="I290" t="s">
        <v>1027</v>
      </c>
      <c r="J290" t="s">
        <v>1030</v>
      </c>
      <c r="K290" t="s">
        <v>1031</v>
      </c>
    </row>
    <row r="291" spans="1:11" x14ac:dyDescent="0.25">
      <c r="A291" t="s">
        <v>290</v>
      </c>
      <c r="B291" s="1">
        <v>45615</v>
      </c>
      <c r="C291">
        <f t="shared" si="8"/>
        <v>2024</v>
      </c>
      <c r="D291" t="str">
        <f t="shared" si="10"/>
        <v>November</v>
      </c>
      <c r="E291" t="str">
        <f t="shared" si="9"/>
        <v>Week3</v>
      </c>
      <c r="F291" t="s">
        <v>1109</v>
      </c>
      <c r="G291" t="s">
        <v>1010</v>
      </c>
      <c r="H291">
        <v>2500</v>
      </c>
      <c r="I291" t="s">
        <v>1027</v>
      </c>
      <c r="J291" t="s">
        <v>1030</v>
      </c>
      <c r="K291" t="s">
        <v>1031</v>
      </c>
    </row>
    <row r="292" spans="1:11" x14ac:dyDescent="0.25">
      <c r="A292" t="s">
        <v>291</v>
      </c>
      <c r="B292" s="1">
        <v>45615</v>
      </c>
      <c r="C292">
        <f t="shared" si="8"/>
        <v>2024</v>
      </c>
      <c r="D292" t="str">
        <f t="shared" si="10"/>
        <v>November</v>
      </c>
      <c r="E292" t="str">
        <f t="shared" si="9"/>
        <v>Week3</v>
      </c>
      <c r="F292" t="s">
        <v>1035</v>
      </c>
      <c r="G292" t="s">
        <v>1197</v>
      </c>
      <c r="H292">
        <v>10000</v>
      </c>
      <c r="I292" t="s">
        <v>1027</v>
      </c>
      <c r="J292" t="s">
        <v>1030</v>
      </c>
      <c r="K292" t="s">
        <v>1031</v>
      </c>
    </row>
    <row r="293" spans="1:11" x14ac:dyDescent="0.25">
      <c r="A293" t="s">
        <v>292</v>
      </c>
      <c r="B293" s="1">
        <v>45616</v>
      </c>
      <c r="C293">
        <f t="shared" si="8"/>
        <v>2024</v>
      </c>
      <c r="D293" t="str">
        <f t="shared" si="10"/>
        <v>November</v>
      </c>
      <c r="E293" t="str">
        <f t="shared" si="9"/>
        <v>Week3</v>
      </c>
      <c r="F293" t="s">
        <v>1046</v>
      </c>
      <c r="G293" t="s">
        <v>1014</v>
      </c>
      <c r="H293">
        <v>4500</v>
      </c>
      <c r="I293" t="s">
        <v>1028</v>
      </c>
      <c r="J293" t="s">
        <v>1030</v>
      </c>
      <c r="K293" t="s">
        <v>1031</v>
      </c>
    </row>
    <row r="294" spans="1:11" x14ac:dyDescent="0.25">
      <c r="A294" t="s">
        <v>293</v>
      </c>
      <c r="B294" s="1">
        <v>45617</v>
      </c>
      <c r="C294">
        <f t="shared" si="8"/>
        <v>2024</v>
      </c>
      <c r="D294" t="str">
        <f t="shared" si="10"/>
        <v>November</v>
      </c>
      <c r="E294" t="str">
        <f t="shared" si="9"/>
        <v>Week3</v>
      </c>
      <c r="F294" t="s">
        <v>1110</v>
      </c>
      <c r="G294" t="s">
        <v>1010</v>
      </c>
      <c r="H294">
        <v>6000</v>
      </c>
      <c r="I294" t="s">
        <v>1027</v>
      </c>
      <c r="J294" t="s">
        <v>1030</v>
      </c>
      <c r="K294" t="s">
        <v>1031</v>
      </c>
    </row>
    <row r="295" spans="1:11" x14ac:dyDescent="0.25">
      <c r="A295" t="s">
        <v>294</v>
      </c>
      <c r="B295" s="1">
        <v>45621</v>
      </c>
      <c r="C295">
        <f t="shared" si="8"/>
        <v>2024</v>
      </c>
      <c r="D295" t="str">
        <f t="shared" si="10"/>
        <v>November</v>
      </c>
      <c r="E295" t="str">
        <f t="shared" si="9"/>
        <v>Week4</v>
      </c>
      <c r="F295" t="s">
        <v>1035</v>
      </c>
      <c r="G295" t="s">
        <v>1197</v>
      </c>
      <c r="H295">
        <v>11000</v>
      </c>
      <c r="I295" t="s">
        <v>1027</v>
      </c>
      <c r="J295" t="s">
        <v>1030</v>
      </c>
      <c r="K295" t="s">
        <v>1031</v>
      </c>
    </row>
    <row r="296" spans="1:11" x14ac:dyDescent="0.25">
      <c r="A296" t="s">
        <v>295</v>
      </c>
      <c r="B296" s="1">
        <v>45623</v>
      </c>
      <c r="C296">
        <f t="shared" si="8"/>
        <v>2024</v>
      </c>
      <c r="D296" t="str">
        <f t="shared" si="10"/>
        <v>November</v>
      </c>
      <c r="E296" t="str">
        <f t="shared" si="9"/>
        <v>Week4</v>
      </c>
      <c r="F296" t="s">
        <v>1018</v>
      </c>
      <c r="G296" t="s">
        <v>1013</v>
      </c>
      <c r="H296">
        <v>3000</v>
      </c>
      <c r="I296" t="s">
        <v>1027</v>
      </c>
      <c r="J296" t="s">
        <v>1030</v>
      </c>
      <c r="K296" t="s">
        <v>1031</v>
      </c>
    </row>
    <row r="297" spans="1:11" x14ac:dyDescent="0.25">
      <c r="A297" t="s">
        <v>296</v>
      </c>
      <c r="B297" s="1">
        <v>45624</v>
      </c>
      <c r="C297">
        <f t="shared" si="8"/>
        <v>2024</v>
      </c>
      <c r="D297" t="str">
        <f t="shared" si="10"/>
        <v>November</v>
      </c>
      <c r="E297" t="str">
        <f t="shared" si="9"/>
        <v>Week4</v>
      </c>
      <c r="F297" t="s">
        <v>1025</v>
      </c>
      <c r="G297" t="s">
        <v>1014</v>
      </c>
      <c r="H297">
        <v>5000</v>
      </c>
      <c r="I297" t="s">
        <v>1027</v>
      </c>
      <c r="J297" t="s">
        <v>1030</v>
      </c>
      <c r="K297" t="s">
        <v>1031</v>
      </c>
    </row>
    <row r="298" spans="1:11" x14ac:dyDescent="0.25">
      <c r="A298" t="s">
        <v>297</v>
      </c>
      <c r="B298" s="1">
        <v>45625</v>
      </c>
      <c r="C298">
        <f t="shared" si="8"/>
        <v>2024</v>
      </c>
      <c r="D298" t="str">
        <f t="shared" si="10"/>
        <v>November</v>
      </c>
      <c r="E298" t="str">
        <f t="shared" si="9"/>
        <v>Week5</v>
      </c>
      <c r="F298" t="s">
        <v>1023</v>
      </c>
      <c r="G298" t="s">
        <v>1201</v>
      </c>
      <c r="H298">
        <v>7000</v>
      </c>
      <c r="I298" t="s">
        <v>1029</v>
      </c>
      <c r="J298" t="s">
        <v>1030</v>
      </c>
      <c r="K298" t="s">
        <v>1031</v>
      </c>
    </row>
    <row r="299" spans="1:11" x14ac:dyDescent="0.25">
      <c r="A299" t="s">
        <v>298</v>
      </c>
      <c r="B299" s="1">
        <v>45625</v>
      </c>
      <c r="C299">
        <f t="shared" si="8"/>
        <v>2024</v>
      </c>
      <c r="D299" t="str">
        <f t="shared" si="10"/>
        <v>November</v>
      </c>
      <c r="E299" t="str">
        <f t="shared" si="9"/>
        <v>Week5</v>
      </c>
      <c r="F299" t="s">
        <v>1099</v>
      </c>
      <c r="G299" t="s">
        <v>1198</v>
      </c>
      <c r="H299">
        <v>30000</v>
      </c>
      <c r="I299" t="s">
        <v>1027</v>
      </c>
      <c r="J299" t="s">
        <v>1030</v>
      </c>
      <c r="K299" t="s">
        <v>1031</v>
      </c>
    </row>
    <row r="300" spans="1:11" x14ac:dyDescent="0.25">
      <c r="A300" t="s">
        <v>299</v>
      </c>
      <c r="B300" s="1">
        <v>45621</v>
      </c>
      <c r="C300">
        <f t="shared" si="8"/>
        <v>2024</v>
      </c>
      <c r="D300" t="str">
        <f t="shared" si="10"/>
        <v>November</v>
      </c>
      <c r="E300" t="str">
        <f t="shared" si="9"/>
        <v>Week4</v>
      </c>
      <c r="F300" t="s">
        <v>1065</v>
      </c>
      <c r="G300" t="s">
        <v>1011</v>
      </c>
      <c r="H300">
        <v>35000</v>
      </c>
      <c r="I300" t="s">
        <v>1028</v>
      </c>
      <c r="J300" t="s">
        <v>1030</v>
      </c>
      <c r="K300" t="s">
        <v>1031</v>
      </c>
    </row>
    <row r="301" spans="1:11" x14ac:dyDescent="0.25">
      <c r="A301" t="s">
        <v>300</v>
      </c>
      <c r="B301" s="1">
        <v>45624</v>
      </c>
      <c r="C301">
        <f t="shared" si="8"/>
        <v>2024</v>
      </c>
      <c r="D301" t="str">
        <f t="shared" si="10"/>
        <v>November</v>
      </c>
      <c r="E301" t="str">
        <f t="shared" si="9"/>
        <v>Week4</v>
      </c>
      <c r="F301" t="s">
        <v>1065</v>
      </c>
      <c r="G301" t="s">
        <v>1011</v>
      </c>
      <c r="H301">
        <v>20000</v>
      </c>
      <c r="I301" t="s">
        <v>1028</v>
      </c>
      <c r="J301" t="s">
        <v>1030</v>
      </c>
      <c r="K301" t="s">
        <v>1031</v>
      </c>
    </row>
    <row r="302" spans="1:11" x14ac:dyDescent="0.25">
      <c r="A302" t="s">
        <v>301</v>
      </c>
      <c r="B302" s="1">
        <v>45628</v>
      </c>
      <c r="C302">
        <f t="shared" si="8"/>
        <v>2024</v>
      </c>
      <c r="D302" t="str">
        <f t="shared" si="10"/>
        <v>December</v>
      </c>
      <c r="E302" t="str">
        <f t="shared" si="9"/>
        <v>Week1</v>
      </c>
      <c r="F302" t="s">
        <v>1037</v>
      </c>
      <c r="G302" t="s">
        <v>1199</v>
      </c>
      <c r="H302">
        <v>20000</v>
      </c>
      <c r="I302" t="s">
        <v>1027</v>
      </c>
      <c r="J302" t="s">
        <v>1030</v>
      </c>
      <c r="K302" t="s">
        <v>1031</v>
      </c>
    </row>
    <row r="303" spans="1:11" x14ac:dyDescent="0.25">
      <c r="A303" t="s">
        <v>302</v>
      </c>
      <c r="B303" s="1">
        <v>45628</v>
      </c>
      <c r="C303">
        <f t="shared" si="8"/>
        <v>2024</v>
      </c>
      <c r="D303" t="str">
        <f t="shared" si="10"/>
        <v>December</v>
      </c>
      <c r="E303" t="str">
        <f t="shared" si="9"/>
        <v>Week1</v>
      </c>
      <c r="F303" t="s">
        <v>1033</v>
      </c>
      <c r="G303" t="s">
        <v>1014</v>
      </c>
      <c r="H303">
        <v>103330</v>
      </c>
      <c r="I303" t="s">
        <v>1028</v>
      </c>
      <c r="J303" t="s">
        <v>1030</v>
      </c>
      <c r="K303" t="s">
        <v>1031</v>
      </c>
    </row>
    <row r="304" spans="1:11" x14ac:dyDescent="0.25">
      <c r="A304" t="s">
        <v>303</v>
      </c>
      <c r="B304" s="1">
        <v>45628</v>
      </c>
      <c r="C304">
        <f t="shared" si="8"/>
        <v>2024</v>
      </c>
      <c r="D304" t="str">
        <f t="shared" si="10"/>
        <v>December</v>
      </c>
      <c r="E304" t="str">
        <f t="shared" si="9"/>
        <v>Week1</v>
      </c>
      <c r="F304" t="s">
        <v>1111</v>
      </c>
      <c r="G304" t="s">
        <v>1012</v>
      </c>
      <c r="H304">
        <v>9730</v>
      </c>
      <c r="I304" t="s">
        <v>1028</v>
      </c>
      <c r="J304" t="s">
        <v>1030</v>
      </c>
      <c r="K304" t="s">
        <v>1031</v>
      </c>
    </row>
    <row r="305" spans="1:11" x14ac:dyDescent="0.25">
      <c r="A305" t="s">
        <v>304</v>
      </c>
      <c r="B305" s="1">
        <v>45628</v>
      </c>
      <c r="C305">
        <f t="shared" si="8"/>
        <v>2024</v>
      </c>
      <c r="D305" t="str">
        <f t="shared" si="10"/>
        <v>December</v>
      </c>
      <c r="E305" t="str">
        <f t="shared" si="9"/>
        <v>Week1</v>
      </c>
      <c r="F305" t="s">
        <v>1112</v>
      </c>
      <c r="G305" t="s">
        <v>1198</v>
      </c>
      <c r="H305">
        <v>5000</v>
      </c>
      <c r="I305" t="s">
        <v>1029</v>
      </c>
      <c r="J305" t="s">
        <v>1030</v>
      </c>
      <c r="K305" t="s">
        <v>1031</v>
      </c>
    </row>
    <row r="306" spans="1:11" x14ac:dyDescent="0.25">
      <c r="A306" t="s">
        <v>305</v>
      </c>
      <c r="B306" s="1">
        <v>45628</v>
      </c>
      <c r="C306">
        <f t="shared" si="8"/>
        <v>2024</v>
      </c>
      <c r="D306" t="str">
        <f t="shared" si="10"/>
        <v>December</v>
      </c>
      <c r="E306" t="str">
        <f t="shared" si="9"/>
        <v>Week1</v>
      </c>
      <c r="F306" t="s">
        <v>1018</v>
      </c>
      <c r="G306" t="s">
        <v>1013</v>
      </c>
      <c r="H306">
        <v>5000</v>
      </c>
      <c r="I306" t="s">
        <v>1027</v>
      </c>
      <c r="J306" t="s">
        <v>1030</v>
      </c>
      <c r="K306" t="s">
        <v>1031</v>
      </c>
    </row>
    <row r="307" spans="1:11" x14ac:dyDescent="0.25">
      <c r="A307" t="s">
        <v>306</v>
      </c>
      <c r="B307" s="1">
        <v>45629</v>
      </c>
      <c r="C307">
        <f t="shared" si="8"/>
        <v>2024</v>
      </c>
      <c r="D307" t="str">
        <f t="shared" si="10"/>
        <v>December</v>
      </c>
      <c r="E307" t="str">
        <f t="shared" si="9"/>
        <v>Week1</v>
      </c>
      <c r="F307" t="s">
        <v>1049</v>
      </c>
      <c r="G307" t="s">
        <v>1199</v>
      </c>
      <c r="H307">
        <v>20000</v>
      </c>
      <c r="I307" t="s">
        <v>1027</v>
      </c>
      <c r="J307" t="s">
        <v>1030</v>
      </c>
      <c r="K307" t="s">
        <v>1031</v>
      </c>
    </row>
    <row r="308" spans="1:11" x14ac:dyDescent="0.25">
      <c r="A308" t="s">
        <v>307</v>
      </c>
      <c r="B308" s="1">
        <v>45630</v>
      </c>
      <c r="C308">
        <f t="shared" si="8"/>
        <v>2024</v>
      </c>
      <c r="D308" t="str">
        <f t="shared" si="10"/>
        <v>December</v>
      </c>
      <c r="E308" t="str">
        <f t="shared" si="9"/>
        <v>Week1</v>
      </c>
      <c r="F308" t="s">
        <v>1113</v>
      </c>
      <c r="G308" t="s">
        <v>1010</v>
      </c>
      <c r="H308">
        <v>6000</v>
      </c>
      <c r="I308" t="s">
        <v>1027</v>
      </c>
      <c r="J308" t="s">
        <v>1030</v>
      </c>
      <c r="K308" t="s">
        <v>1031</v>
      </c>
    </row>
    <row r="309" spans="1:11" x14ac:dyDescent="0.25">
      <c r="A309" t="s">
        <v>308</v>
      </c>
      <c r="B309" s="1">
        <v>45630</v>
      </c>
      <c r="C309">
        <f t="shared" si="8"/>
        <v>2024</v>
      </c>
      <c r="D309" t="str">
        <f t="shared" si="10"/>
        <v>December</v>
      </c>
      <c r="E309" t="str">
        <f t="shared" si="9"/>
        <v>Week1</v>
      </c>
      <c r="F309" t="s">
        <v>1114</v>
      </c>
      <c r="G309" t="s">
        <v>1015</v>
      </c>
      <c r="H309">
        <v>16000</v>
      </c>
      <c r="I309" t="s">
        <v>1029</v>
      </c>
      <c r="J309" t="s">
        <v>1030</v>
      </c>
      <c r="K309" t="s">
        <v>1031</v>
      </c>
    </row>
    <row r="310" spans="1:11" x14ac:dyDescent="0.25">
      <c r="A310" t="s">
        <v>309</v>
      </c>
      <c r="B310" s="1">
        <v>45607</v>
      </c>
      <c r="C310">
        <f t="shared" si="8"/>
        <v>2024</v>
      </c>
      <c r="D310" t="str">
        <f t="shared" si="10"/>
        <v>November</v>
      </c>
      <c r="E310" t="str">
        <f t="shared" si="9"/>
        <v>Week2</v>
      </c>
      <c r="F310" t="s">
        <v>1035</v>
      </c>
      <c r="G310" t="s">
        <v>1197</v>
      </c>
      <c r="H310">
        <v>11000</v>
      </c>
      <c r="I310" t="s">
        <v>1027</v>
      </c>
      <c r="J310" t="s">
        <v>1030</v>
      </c>
      <c r="K310" t="s">
        <v>1031</v>
      </c>
    </row>
    <row r="311" spans="1:11" x14ac:dyDescent="0.25">
      <c r="A311" t="s">
        <v>310</v>
      </c>
      <c r="B311" s="1">
        <v>45609</v>
      </c>
      <c r="C311">
        <f t="shared" si="8"/>
        <v>2024</v>
      </c>
      <c r="D311" t="str">
        <f t="shared" si="10"/>
        <v>November</v>
      </c>
      <c r="E311" t="str">
        <f t="shared" si="9"/>
        <v>Week2</v>
      </c>
      <c r="F311" t="s">
        <v>1113</v>
      </c>
      <c r="G311" t="s">
        <v>1010</v>
      </c>
      <c r="H311">
        <v>10000</v>
      </c>
      <c r="I311" t="s">
        <v>1029</v>
      </c>
      <c r="J311" t="s">
        <v>1030</v>
      </c>
      <c r="K311" t="s">
        <v>1031</v>
      </c>
    </row>
    <row r="312" spans="1:11" x14ac:dyDescent="0.25">
      <c r="A312" t="s">
        <v>311</v>
      </c>
      <c r="B312" s="1">
        <v>45610</v>
      </c>
      <c r="C312">
        <f t="shared" si="8"/>
        <v>2024</v>
      </c>
      <c r="D312" t="str">
        <f t="shared" si="10"/>
        <v>November</v>
      </c>
      <c r="E312" t="str">
        <f t="shared" si="9"/>
        <v>Week2</v>
      </c>
      <c r="F312" t="s">
        <v>1113</v>
      </c>
      <c r="G312" t="s">
        <v>1010</v>
      </c>
      <c r="H312">
        <v>8000</v>
      </c>
      <c r="I312" t="s">
        <v>1029</v>
      </c>
      <c r="J312" t="s">
        <v>1030</v>
      </c>
      <c r="K312" t="s">
        <v>1031</v>
      </c>
    </row>
    <row r="313" spans="1:11" x14ac:dyDescent="0.25">
      <c r="A313" t="s">
        <v>312</v>
      </c>
      <c r="B313" s="1">
        <v>45610</v>
      </c>
      <c r="C313">
        <f t="shared" si="8"/>
        <v>2024</v>
      </c>
      <c r="D313" t="str">
        <f t="shared" si="10"/>
        <v>November</v>
      </c>
      <c r="E313" t="str">
        <f t="shared" si="9"/>
        <v>Week2</v>
      </c>
      <c r="F313" t="s">
        <v>1115</v>
      </c>
      <c r="G313" t="s">
        <v>1198</v>
      </c>
      <c r="H313">
        <v>4000</v>
      </c>
      <c r="I313" t="s">
        <v>1029</v>
      </c>
      <c r="J313" t="s">
        <v>1030</v>
      </c>
      <c r="K313" t="s">
        <v>1031</v>
      </c>
    </row>
    <row r="314" spans="1:11" x14ac:dyDescent="0.25">
      <c r="A314" t="s">
        <v>313</v>
      </c>
      <c r="B314" s="1">
        <v>45611</v>
      </c>
      <c r="C314">
        <f t="shared" si="8"/>
        <v>2024</v>
      </c>
      <c r="D314" t="str">
        <f t="shared" si="10"/>
        <v>November</v>
      </c>
      <c r="E314" t="str">
        <f t="shared" si="9"/>
        <v>Week3</v>
      </c>
      <c r="F314" t="s">
        <v>1045</v>
      </c>
      <c r="G314" t="s">
        <v>1197</v>
      </c>
      <c r="H314">
        <v>64000</v>
      </c>
      <c r="I314" t="s">
        <v>1027</v>
      </c>
      <c r="J314" t="s">
        <v>1030</v>
      </c>
      <c r="K314" t="s">
        <v>1031</v>
      </c>
    </row>
    <row r="315" spans="1:11" x14ac:dyDescent="0.25">
      <c r="A315" t="s">
        <v>314</v>
      </c>
      <c r="B315" s="1">
        <v>45613</v>
      </c>
      <c r="C315">
        <f t="shared" si="8"/>
        <v>2024</v>
      </c>
      <c r="D315" t="str">
        <f t="shared" si="10"/>
        <v>November</v>
      </c>
      <c r="E315" t="str">
        <f t="shared" si="9"/>
        <v>Week3</v>
      </c>
      <c r="F315" t="s">
        <v>1018</v>
      </c>
      <c r="G315" t="s">
        <v>1013</v>
      </c>
      <c r="H315">
        <v>3000</v>
      </c>
      <c r="I315" t="s">
        <v>1027</v>
      </c>
      <c r="J315" t="s">
        <v>1030</v>
      </c>
      <c r="K315" t="s">
        <v>1031</v>
      </c>
    </row>
    <row r="316" spans="1:11" x14ac:dyDescent="0.25">
      <c r="A316" t="s">
        <v>315</v>
      </c>
      <c r="B316" s="1">
        <v>45607</v>
      </c>
      <c r="C316">
        <f t="shared" si="8"/>
        <v>2024</v>
      </c>
      <c r="D316" t="str">
        <f t="shared" si="10"/>
        <v>November</v>
      </c>
      <c r="E316" t="str">
        <f t="shared" si="9"/>
        <v>Week2</v>
      </c>
      <c r="F316" t="s">
        <v>1040</v>
      </c>
      <c r="G316" t="s">
        <v>1199</v>
      </c>
      <c r="H316">
        <v>20000</v>
      </c>
      <c r="I316" t="s">
        <v>1027</v>
      </c>
      <c r="J316" t="s">
        <v>1030</v>
      </c>
      <c r="K316" t="s">
        <v>1031</v>
      </c>
    </row>
    <row r="317" spans="1:11" x14ac:dyDescent="0.25">
      <c r="A317" t="s">
        <v>316</v>
      </c>
      <c r="B317" s="1">
        <v>45629</v>
      </c>
      <c r="C317">
        <f t="shared" si="8"/>
        <v>2024</v>
      </c>
      <c r="D317" t="str">
        <f t="shared" si="10"/>
        <v>December</v>
      </c>
      <c r="E317" t="str">
        <f t="shared" si="9"/>
        <v>Week1</v>
      </c>
      <c r="F317" t="s">
        <v>1035</v>
      </c>
      <c r="G317" t="s">
        <v>1197</v>
      </c>
      <c r="H317">
        <v>11000</v>
      </c>
      <c r="I317" t="s">
        <v>1027</v>
      </c>
      <c r="J317" t="s">
        <v>1030</v>
      </c>
      <c r="K317" t="s">
        <v>1031</v>
      </c>
    </row>
    <row r="318" spans="1:11" x14ac:dyDescent="0.25">
      <c r="A318" t="s">
        <v>317</v>
      </c>
      <c r="B318" s="1">
        <v>45632</v>
      </c>
      <c r="C318">
        <f t="shared" si="8"/>
        <v>2024</v>
      </c>
      <c r="D318" t="str">
        <f t="shared" si="10"/>
        <v>December</v>
      </c>
      <c r="E318" t="str">
        <f t="shared" si="9"/>
        <v>Week1</v>
      </c>
      <c r="F318" t="s">
        <v>1045</v>
      </c>
      <c r="G318" t="s">
        <v>1197</v>
      </c>
      <c r="H318">
        <v>100000</v>
      </c>
      <c r="I318" t="s">
        <v>1027</v>
      </c>
      <c r="J318" t="s">
        <v>1030</v>
      </c>
      <c r="K318" t="s">
        <v>1031</v>
      </c>
    </row>
    <row r="319" spans="1:11" x14ac:dyDescent="0.25">
      <c r="A319" t="s">
        <v>318</v>
      </c>
      <c r="B319" s="1">
        <v>45633</v>
      </c>
      <c r="C319">
        <f t="shared" si="8"/>
        <v>2024</v>
      </c>
      <c r="D319" t="str">
        <f t="shared" si="10"/>
        <v>December</v>
      </c>
      <c r="E319" t="str">
        <f t="shared" si="9"/>
        <v>Week1</v>
      </c>
      <c r="F319" t="s">
        <v>1116</v>
      </c>
      <c r="G319" t="s">
        <v>1015</v>
      </c>
      <c r="H319">
        <v>11250</v>
      </c>
      <c r="I319" t="s">
        <v>1028</v>
      </c>
      <c r="J319" t="s">
        <v>1030</v>
      </c>
      <c r="K319" t="s">
        <v>1031</v>
      </c>
    </row>
    <row r="320" spans="1:11" x14ac:dyDescent="0.25">
      <c r="A320" t="s">
        <v>319</v>
      </c>
      <c r="B320" s="1">
        <v>45635</v>
      </c>
      <c r="C320">
        <f t="shared" si="8"/>
        <v>2024</v>
      </c>
      <c r="D320" t="str">
        <f t="shared" si="10"/>
        <v>December</v>
      </c>
      <c r="E320" t="str">
        <f t="shared" si="9"/>
        <v>Week2</v>
      </c>
      <c r="F320" t="s">
        <v>1046</v>
      </c>
      <c r="G320" t="s">
        <v>1014</v>
      </c>
      <c r="H320">
        <v>4500</v>
      </c>
      <c r="I320" t="s">
        <v>1028</v>
      </c>
      <c r="J320" t="s">
        <v>1030</v>
      </c>
      <c r="K320" t="s">
        <v>1031</v>
      </c>
    </row>
    <row r="321" spans="1:11" x14ac:dyDescent="0.25">
      <c r="A321" t="s">
        <v>320</v>
      </c>
      <c r="B321" s="1">
        <v>45635</v>
      </c>
      <c r="C321">
        <f t="shared" si="8"/>
        <v>2024</v>
      </c>
      <c r="D321" t="str">
        <f t="shared" si="10"/>
        <v>December</v>
      </c>
      <c r="E321" t="str">
        <f t="shared" si="9"/>
        <v>Week2</v>
      </c>
      <c r="F321" t="s">
        <v>1040</v>
      </c>
      <c r="G321" t="s">
        <v>1199</v>
      </c>
      <c r="H321">
        <v>20000</v>
      </c>
      <c r="I321" t="s">
        <v>1027</v>
      </c>
      <c r="J321" t="s">
        <v>1030</v>
      </c>
      <c r="K321" t="s">
        <v>1031</v>
      </c>
    </row>
    <row r="322" spans="1:11" x14ac:dyDescent="0.25">
      <c r="A322" t="s">
        <v>321</v>
      </c>
      <c r="B322" s="1">
        <v>45635</v>
      </c>
      <c r="C322">
        <f t="shared" si="8"/>
        <v>2024</v>
      </c>
      <c r="D322" t="str">
        <f t="shared" si="10"/>
        <v>December</v>
      </c>
      <c r="E322" t="str">
        <f t="shared" si="9"/>
        <v>Week2</v>
      </c>
      <c r="F322" t="s">
        <v>1035</v>
      </c>
      <c r="G322" t="s">
        <v>1197</v>
      </c>
      <c r="H322">
        <v>11000</v>
      </c>
      <c r="I322" t="s">
        <v>1027</v>
      </c>
      <c r="J322" t="s">
        <v>1030</v>
      </c>
      <c r="K322" t="s">
        <v>1031</v>
      </c>
    </row>
    <row r="323" spans="1:11" x14ac:dyDescent="0.25">
      <c r="A323" t="s">
        <v>322</v>
      </c>
      <c r="B323" s="1">
        <v>45637</v>
      </c>
      <c r="C323">
        <f t="shared" si="8"/>
        <v>2024</v>
      </c>
      <c r="D323" t="str">
        <f t="shared" si="10"/>
        <v>December</v>
      </c>
      <c r="E323" t="str">
        <f t="shared" si="9"/>
        <v>Week2</v>
      </c>
      <c r="F323" t="s">
        <v>1117</v>
      </c>
      <c r="G323" t="s">
        <v>1198</v>
      </c>
      <c r="H323">
        <v>8500</v>
      </c>
      <c r="I323" t="s">
        <v>1029</v>
      </c>
      <c r="J323" t="s">
        <v>1030</v>
      </c>
      <c r="K323" t="s">
        <v>1031</v>
      </c>
    </row>
    <row r="324" spans="1:11" x14ac:dyDescent="0.25">
      <c r="A324" t="s">
        <v>323</v>
      </c>
      <c r="B324" s="1">
        <v>45637</v>
      </c>
      <c r="C324">
        <f t="shared" si="8"/>
        <v>2024</v>
      </c>
      <c r="D324" t="str">
        <f t="shared" si="10"/>
        <v>December</v>
      </c>
      <c r="E324" t="str">
        <f t="shared" si="9"/>
        <v>Week2</v>
      </c>
      <c r="F324" t="s">
        <v>1025</v>
      </c>
      <c r="G324" t="s">
        <v>1014</v>
      </c>
      <c r="H324">
        <v>5000</v>
      </c>
      <c r="I324" t="s">
        <v>1027</v>
      </c>
      <c r="J324" t="s">
        <v>1030</v>
      </c>
      <c r="K324" t="s">
        <v>1031</v>
      </c>
    </row>
    <row r="325" spans="1:11" x14ac:dyDescent="0.25">
      <c r="A325" t="s">
        <v>324</v>
      </c>
      <c r="B325" s="1">
        <v>45638</v>
      </c>
      <c r="C325">
        <f t="shared" si="8"/>
        <v>2024</v>
      </c>
      <c r="D325" t="str">
        <f t="shared" si="10"/>
        <v>December</v>
      </c>
      <c r="E325" t="str">
        <f t="shared" si="9"/>
        <v>Week2</v>
      </c>
      <c r="F325" t="s">
        <v>1018</v>
      </c>
      <c r="G325" t="s">
        <v>1013</v>
      </c>
      <c r="H325">
        <v>3000</v>
      </c>
      <c r="I325" t="s">
        <v>1027</v>
      </c>
      <c r="J325" t="s">
        <v>1030</v>
      </c>
      <c r="K325" t="s">
        <v>1031</v>
      </c>
    </row>
    <row r="326" spans="1:11" x14ac:dyDescent="0.25">
      <c r="A326" t="s">
        <v>325</v>
      </c>
      <c r="B326" s="1">
        <v>45643</v>
      </c>
      <c r="C326">
        <f t="shared" si="8"/>
        <v>2024</v>
      </c>
      <c r="D326" t="str">
        <f t="shared" si="10"/>
        <v>December</v>
      </c>
      <c r="E326" t="str">
        <f t="shared" si="9"/>
        <v>Week3</v>
      </c>
      <c r="F326" t="s">
        <v>1052</v>
      </c>
      <c r="G326" t="s">
        <v>1198</v>
      </c>
      <c r="H326">
        <v>5000</v>
      </c>
      <c r="I326" t="s">
        <v>1029</v>
      </c>
      <c r="J326" t="s">
        <v>1030</v>
      </c>
      <c r="K326" t="s">
        <v>1031</v>
      </c>
    </row>
    <row r="327" spans="1:11" x14ac:dyDescent="0.25">
      <c r="A327" t="s">
        <v>326</v>
      </c>
      <c r="B327" s="1">
        <v>45645</v>
      </c>
      <c r="C327">
        <f t="shared" si="8"/>
        <v>2024</v>
      </c>
      <c r="D327" t="str">
        <f t="shared" si="10"/>
        <v>December</v>
      </c>
      <c r="E327" t="str">
        <f t="shared" si="9"/>
        <v>Week3</v>
      </c>
      <c r="F327" t="s">
        <v>1118</v>
      </c>
      <c r="G327" t="s">
        <v>1198</v>
      </c>
      <c r="H327">
        <v>8000</v>
      </c>
      <c r="I327" t="s">
        <v>1029</v>
      </c>
      <c r="J327" t="s">
        <v>1030</v>
      </c>
      <c r="K327" t="s">
        <v>1031</v>
      </c>
    </row>
    <row r="328" spans="1:11" x14ac:dyDescent="0.25">
      <c r="A328" t="s">
        <v>327</v>
      </c>
      <c r="B328" s="1">
        <v>45646</v>
      </c>
      <c r="C328">
        <f t="shared" si="8"/>
        <v>2024</v>
      </c>
      <c r="D328" t="str">
        <f t="shared" si="10"/>
        <v>December</v>
      </c>
      <c r="E328" t="str">
        <f t="shared" si="9"/>
        <v>Week3</v>
      </c>
      <c r="F328" t="s">
        <v>1113</v>
      </c>
      <c r="G328" t="s">
        <v>1010</v>
      </c>
      <c r="H328">
        <v>7000</v>
      </c>
      <c r="I328" t="s">
        <v>1027</v>
      </c>
      <c r="J328" t="s">
        <v>1030</v>
      </c>
      <c r="K328" t="s">
        <v>1031</v>
      </c>
    </row>
    <row r="329" spans="1:11" x14ac:dyDescent="0.25">
      <c r="A329" t="s">
        <v>328</v>
      </c>
      <c r="B329" s="1">
        <v>45646</v>
      </c>
      <c r="C329">
        <f t="shared" si="8"/>
        <v>2024</v>
      </c>
      <c r="D329" t="str">
        <f t="shared" si="10"/>
        <v>December</v>
      </c>
      <c r="E329" t="str">
        <f t="shared" si="9"/>
        <v>Week3</v>
      </c>
      <c r="F329" t="s">
        <v>1023</v>
      </c>
      <c r="G329" t="s">
        <v>1201</v>
      </c>
      <c r="H329">
        <v>7000</v>
      </c>
      <c r="I329" t="s">
        <v>1029</v>
      </c>
      <c r="J329" t="s">
        <v>1030</v>
      </c>
      <c r="K329" t="s">
        <v>1031</v>
      </c>
    </row>
    <row r="330" spans="1:11" x14ac:dyDescent="0.25">
      <c r="A330" t="s">
        <v>329</v>
      </c>
      <c r="B330" s="1">
        <v>45647</v>
      </c>
      <c r="C330">
        <f t="shared" si="8"/>
        <v>2024</v>
      </c>
      <c r="D330" t="str">
        <f t="shared" si="10"/>
        <v>December</v>
      </c>
      <c r="E330" t="str">
        <f t="shared" si="9"/>
        <v>Week3</v>
      </c>
      <c r="F330" t="s">
        <v>1018</v>
      </c>
      <c r="G330" t="s">
        <v>1013</v>
      </c>
      <c r="H330">
        <v>3000</v>
      </c>
      <c r="I330" t="s">
        <v>1027</v>
      </c>
      <c r="J330" t="s">
        <v>1030</v>
      </c>
      <c r="K330" t="s">
        <v>1031</v>
      </c>
    </row>
    <row r="331" spans="1:11" x14ac:dyDescent="0.25">
      <c r="A331" t="s">
        <v>330</v>
      </c>
      <c r="B331" s="1">
        <v>45649</v>
      </c>
      <c r="C331">
        <f t="shared" si="8"/>
        <v>2024</v>
      </c>
      <c r="D331" t="str">
        <f t="shared" si="10"/>
        <v>December</v>
      </c>
      <c r="E331" t="str">
        <f t="shared" si="9"/>
        <v>Week4</v>
      </c>
      <c r="F331" t="s">
        <v>1025</v>
      </c>
      <c r="G331" t="s">
        <v>1014</v>
      </c>
      <c r="H331">
        <v>5000</v>
      </c>
      <c r="I331" t="s">
        <v>1027</v>
      </c>
      <c r="J331" t="s">
        <v>1030</v>
      </c>
      <c r="K331" t="s">
        <v>1031</v>
      </c>
    </row>
    <row r="332" spans="1:11" x14ac:dyDescent="0.25">
      <c r="A332" t="s">
        <v>331</v>
      </c>
      <c r="B332" s="1">
        <v>45650</v>
      </c>
      <c r="C332">
        <f t="shared" si="8"/>
        <v>2024</v>
      </c>
      <c r="D332" t="str">
        <f t="shared" si="10"/>
        <v>December</v>
      </c>
      <c r="E332" t="str">
        <f t="shared" si="9"/>
        <v>Week4</v>
      </c>
      <c r="F332" t="s">
        <v>1102</v>
      </c>
      <c r="G332" t="s">
        <v>1011</v>
      </c>
      <c r="H332">
        <v>25000</v>
      </c>
      <c r="I332" t="s">
        <v>1027</v>
      </c>
      <c r="J332" t="s">
        <v>1030</v>
      </c>
      <c r="K332" t="s">
        <v>1031</v>
      </c>
    </row>
    <row r="333" spans="1:11" x14ac:dyDescent="0.25">
      <c r="A333" t="s">
        <v>332</v>
      </c>
      <c r="B333" s="1">
        <v>45653</v>
      </c>
      <c r="C333">
        <f t="shared" si="8"/>
        <v>2024</v>
      </c>
      <c r="D333" t="str">
        <f t="shared" si="10"/>
        <v>December</v>
      </c>
      <c r="E333" t="str">
        <f t="shared" si="9"/>
        <v>Week4</v>
      </c>
      <c r="F333" t="s">
        <v>1119</v>
      </c>
      <c r="G333" t="s">
        <v>1011</v>
      </c>
      <c r="H333">
        <v>27000</v>
      </c>
      <c r="I333" t="s">
        <v>1027</v>
      </c>
      <c r="J333" t="s">
        <v>1030</v>
      </c>
      <c r="K333" t="s">
        <v>1031</v>
      </c>
    </row>
    <row r="334" spans="1:11" x14ac:dyDescent="0.25">
      <c r="A334" t="s">
        <v>333</v>
      </c>
      <c r="B334" s="1">
        <v>45656</v>
      </c>
      <c r="C334">
        <f t="shared" si="8"/>
        <v>2024</v>
      </c>
      <c r="D334" t="str">
        <f t="shared" si="10"/>
        <v>December</v>
      </c>
      <c r="E334" t="str">
        <f t="shared" si="9"/>
        <v>Week5</v>
      </c>
      <c r="F334" t="s">
        <v>1056</v>
      </c>
      <c r="G334" t="s">
        <v>1198</v>
      </c>
      <c r="H334">
        <v>5500</v>
      </c>
      <c r="I334" t="s">
        <v>1027</v>
      </c>
      <c r="J334" t="s">
        <v>1030</v>
      </c>
      <c r="K334" t="s">
        <v>1031</v>
      </c>
    </row>
    <row r="335" spans="1:11" x14ac:dyDescent="0.25">
      <c r="A335" t="s">
        <v>334</v>
      </c>
      <c r="B335" s="1">
        <v>45629</v>
      </c>
      <c r="C335">
        <f t="shared" si="8"/>
        <v>2024</v>
      </c>
      <c r="D335" t="str">
        <f t="shared" si="10"/>
        <v>December</v>
      </c>
      <c r="E335" t="str">
        <f t="shared" si="9"/>
        <v>Week1</v>
      </c>
      <c r="F335" t="s">
        <v>1018</v>
      </c>
      <c r="G335" t="s">
        <v>1013</v>
      </c>
      <c r="H335">
        <v>3000</v>
      </c>
      <c r="I335" t="s">
        <v>1027</v>
      </c>
      <c r="J335" t="s">
        <v>1030</v>
      </c>
      <c r="K335" t="s">
        <v>1031</v>
      </c>
    </row>
    <row r="336" spans="1:11" x14ac:dyDescent="0.25">
      <c r="A336" t="s">
        <v>335</v>
      </c>
      <c r="B336" s="1">
        <v>45659</v>
      </c>
      <c r="C336">
        <f t="shared" si="8"/>
        <v>2025</v>
      </c>
      <c r="D336" t="str">
        <f t="shared" si="10"/>
        <v>January</v>
      </c>
      <c r="E336" t="str">
        <f t="shared" si="9"/>
        <v>Week1</v>
      </c>
      <c r="F336" t="s">
        <v>1018</v>
      </c>
      <c r="G336" t="s">
        <v>1013</v>
      </c>
      <c r="H336">
        <v>5000</v>
      </c>
      <c r="I336" t="s">
        <v>1027</v>
      </c>
      <c r="J336" t="s">
        <v>1030</v>
      </c>
      <c r="K336" t="s">
        <v>1031</v>
      </c>
    </row>
    <row r="337" spans="1:11" x14ac:dyDescent="0.25">
      <c r="A337" t="s">
        <v>336</v>
      </c>
      <c r="B337" s="1">
        <v>45660</v>
      </c>
      <c r="C337">
        <f t="shared" si="8"/>
        <v>2025</v>
      </c>
      <c r="D337" t="str">
        <f t="shared" si="10"/>
        <v>January</v>
      </c>
      <c r="E337" t="str">
        <f t="shared" si="9"/>
        <v>Week1</v>
      </c>
      <c r="F337" t="s">
        <v>1049</v>
      </c>
      <c r="G337" t="s">
        <v>1199</v>
      </c>
      <c r="H337">
        <v>20000</v>
      </c>
      <c r="I337" t="s">
        <v>1027</v>
      </c>
      <c r="J337" t="s">
        <v>1030</v>
      </c>
      <c r="K337" t="s">
        <v>1031</v>
      </c>
    </row>
    <row r="338" spans="1:11" x14ac:dyDescent="0.25">
      <c r="A338" t="s">
        <v>337</v>
      </c>
      <c r="B338" s="1">
        <v>45663</v>
      </c>
      <c r="C338">
        <f t="shared" si="8"/>
        <v>2025</v>
      </c>
      <c r="D338" t="str">
        <f t="shared" si="10"/>
        <v>January</v>
      </c>
      <c r="E338" t="str">
        <f t="shared" si="9"/>
        <v>Week1</v>
      </c>
      <c r="F338" t="s">
        <v>1035</v>
      </c>
      <c r="G338" t="s">
        <v>1197</v>
      </c>
      <c r="H338">
        <v>13000</v>
      </c>
      <c r="I338" t="s">
        <v>1027</v>
      </c>
      <c r="J338" t="s">
        <v>1030</v>
      </c>
      <c r="K338" t="s">
        <v>1031</v>
      </c>
    </row>
    <row r="339" spans="1:11" x14ac:dyDescent="0.25">
      <c r="A339" t="s">
        <v>338</v>
      </c>
      <c r="B339" s="1">
        <v>45663</v>
      </c>
      <c r="C339">
        <f t="shared" si="8"/>
        <v>2025</v>
      </c>
      <c r="D339" t="str">
        <f t="shared" si="10"/>
        <v>January</v>
      </c>
      <c r="E339" t="str">
        <f t="shared" si="9"/>
        <v>Week1</v>
      </c>
      <c r="F339" t="s">
        <v>1037</v>
      </c>
      <c r="G339" t="s">
        <v>1199</v>
      </c>
      <c r="H339">
        <v>20000</v>
      </c>
      <c r="I339" t="s">
        <v>1027</v>
      </c>
      <c r="J339" t="s">
        <v>1030</v>
      </c>
      <c r="K339" t="s">
        <v>1031</v>
      </c>
    </row>
    <row r="340" spans="1:11" x14ac:dyDescent="0.25">
      <c r="A340" t="s">
        <v>339</v>
      </c>
      <c r="B340" s="1">
        <v>45663</v>
      </c>
      <c r="C340">
        <f t="shared" si="8"/>
        <v>2025</v>
      </c>
      <c r="D340" t="str">
        <f t="shared" si="10"/>
        <v>January</v>
      </c>
      <c r="E340" t="str">
        <f t="shared" si="9"/>
        <v>Week1</v>
      </c>
      <c r="F340" t="s">
        <v>1120</v>
      </c>
      <c r="G340" t="s">
        <v>1014</v>
      </c>
      <c r="H340">
        <v>3000</v>
      </c>
      <c r="I340" t="s">
        <v>1027</v>
      </c>
      <c r="J340" t="s">
        <v>1030</v>
      </c>
      <c r="K340" t="s">
        <v>1031</v>
      </c>
    </row>
    <row r="341" spans="1:11" x14ac:dyDescent="0.25">
      <c r="A341" t="s">
        <v>340</v>
      </c>
      <c r="B341" s="1">
        <v>45665</v>
      </c>
      <c r="C341">
        <f t="shared" si="8"/>
        <v>2025</v>
      </c>
      <c r="D341" t="str">
        <f t="shared" si="10"/>
        <v>January</v>
      </c>
      <c r="E341" t="str">
        <f t="shared" si="9"/>
        <v>Week2</v>
      </c>
      <c r="F341" t="s">
        <v>1033</v>
      </c>
      <c r="G341" t="s">
        <v>1014</v>
      </c>
      <c r="H341">
        <v>108930</v>
      </c>
      <c r="I341" t="s">
        <v>1028</v>
      </c>
      <c r="J341" t="s">
        <v>1030</v>
      </c>
      <c r="K341" t="s">
        <v>1031</v>
      </c>
    </row>
    <row r="342" spans="1:11" x14ac:dyDescent="0.25">
      <c r="A342" t="s">
        <v>341</v>
      </c>
      <c r="B342" s="1">
        <v>45659</v>
      </c>
      <c r="C342">
        <f t="shared" si="8"/>
        <v>2025</v>
      </c>
      <c r="D342" t="str">
        <f t="shared" si="10"/>
        <v>January</v>
      </c>
      <c r="E342" t="str">
        <f t="shared" si="9"/>
        <v>Week1</v>
      </c>
      <c r="F342" t="s">
        <v>1102</v>
      </c>
      <c r="G342" t="s">
        <v>1011</v>
      </c>
      <c r="H342">
        <v>23000</v>
      </c>
      <c r="I342" t="s">
        <v>1027</v>
      </c>
      <c r="J342" t="s">
        <v>1030</v>
      </c>
      <c r="K342" t="s">
        <v>1031</v>
      </c>
    </row>
    <row r="343" spans="1:11" x14ac:dyDescent="0.25">
      <c r="A343" t="s">
        <v>342</v>
      </c>
      <c r="B343" s="1">
        <v>45670</v>
      </c>
      <c r="C343">
        <f t="shared" si="8"/>
        <v>2025</v>
      </c>
      <c r="D343" t="str">
        <f t="shared" si="10"/>
        <v>January</v>
      </c>
      <c r="E343" t="str">
        <f t="shared" si="9"/>
        <v>Week2</v>
      </c>
      <c r="F343" t="s">
        <v>1121</v>
      </c>
      <c r="G343" t="s">
        <v>1010</v>
      </c>
      <c r="H343">
        <v>16000</v>
      </c>
      <c r="I343" t="s">
        <v>1028</v>
      </c>
      <c r="J343" t="s">
        <v>1030</v>
      </c>
      <c r="K343" t="s">
        <v>1031</v>
      </c>
    </row>
    <row r="344" spans="1:11" x14ac:dyDescent="0.25">
      <c r="A344" t="s">
        <v>343</v>
      </c>
      <c r="B344" s="1">
        <v>45670</v>
      </c>
      <c r="C344">
        <f t="shared" si="8"/>
        <v>2025</v>
      </c>
      <c r="D344" t="str">
        <f t="shared" si="10"/>
        <v>January</v>
      </c>
      <c r="E344" t="str">
        <f t="shared" si="9"/>
        <v>Week2</v>
      </c>
      <c r="F344" t="s">
        <v>1035</v>
      </c>
      <c r="G344" t="s">
        <v>1197</v>
      </c>
      <c r="H344">
        <v>13000</v>
      </c>
      <c r="I344" t="s">
        <v>1027</v>
      </c>
      <c r="J344" t="s">
        <v>1030</v>
      </c>
      <c r="K344" t="s">
        <v>1031</v>
      </c>
    </row>
    <row r="345" spans="1:11" x14ac:dyDescent="0.25">
      <c r="A345" t="s">
        <v>344</v>
      </c>
      <c r="B345" s="1">
        <v>45670</v>
      </c>
      <c r="C345">
        <f t="shared" si="8"/>
        <v>2025</v>
      </c>
      <c r="D345" t="str">
        <f t="shared" si="10"/>
        <v>January</v>
      </c>
      <c r="E345" t="str">
        <f t="shared" si="9"/>
        <v>Week2</v>
      </c>
      <c r="F345" t="s">
        <v>1040</v>
      </c>
      <c r="G345" t="s">
        <v>1199</v>
      </c>
      <c r="H345">
        <v>20000</v>
      </c>
      <c r="I345" t="s">
        <v>1027</v>
      </c>
      <c r="J345" t="s">
        <v>1030</v>
      </c>
      <c r="K345" t="s">
        <v>1031</v>
      </c>
    </row>
    <row r="346" spans="1:11" x14ac:dyDescent="0.25">
      <c r="A346" t="s">
        <v>345</v>
      </c>
      <c r="B346" s="1">
        <v>45671</v>
      </c>
      <c r="C346">
        <f t="shared" si="8"/>
        <v>2025</v>
      </c>
      <c r="D346" t="str">
        <f t="shared" si="10"/>
        <v>January</v>
      </c>
      <c r="E346" t="str">
        <f t="shared" si="9"/>
        <v>Week2</v>
      </c>
      <c r="F346" t="s">
        <v>1035</v>
      </c>
      <c r="G346" t="s">
        <v>1197</v>
      </c>
      <c r="H346">
        <v>7500</v>
      </c>
      <c r="I346" t="s">
        <v>1029</v>
      </c>
      <c r="J346" t="s">
        <v>1030</v>
      </c>
      <c r="K346" t="s">
        <v>1031</v>
      </c>
    </row>
    <row r="347" spans="1:11" x14ac:dyDescent="0.25">
      <c r="A347" t="s">
        <v>346</v>
      </c>
      <c r="B347" s="1">
        <v>45671</v>
      </c>
      <c r="C347">
        <f t="shared" si="8"/>
        <v>2025</v>
      </c>
      <c r="D347" t="str">
        <f t="shared" si="10"/>
        <v>January</v>
      </c>
      <c r="E347" t="str">
        <f t="shared" si="9"/>
        <v>Week2</v>
      </c>
      <c r="F347" t="s">
        <v>1122</v>
      </c>
      <c r="G347" t="s">
        <v>1010</v>
      </c>
      <c r="H347">
        <v>8000</v>
      </c>
      <c r="I347" t="s">
        <v>1027</v>
      </c>
      <c r="J347" t="s">
        <v>1030</v>
      </c>
      <c r="K347" t="s">
        <v>1031</v>
      </c>
    </row>
    <row r="348" spans="1:11" x14ac:dyDescent="0.25">
      <c r="A348" t="s">
        <v>347</v>
      </c>
      <c r="B348" s="1">
        <v>45672</v>
      </c>
      <c r="C348">
        <f t="shared" si="8"/>
        <v>2025</v>
      </c>
      <c r="D348" t="str">
        <f t="shared" si="10"/>
        <v>January</v>
      </c>
      <c r="E348" t="str">
        <f t="shared" si="9"/>
        <v>Week3</v>
      </c>
      <c r="F348" t="s">
        <v>1025</v>
      </c>
      <c r="G348" t="s">
        <v>1014</v>
      </c>
      <c r="H348">
        <v>5000</v>
      </c>
      <c r="I348" t="s">
        <v>1027</v>
      </c>
      <c r="J348" t="s">
        <v>1030</v>
      </c>
      <c r="K348" t="s">
        <v>1031</v>
      </c>
    </row>
    <row r="349" spans="1:11" x14ac:dyDescent="0.25">
      <c r="A349" t="s">
        <v>348</v>
      </c>
      <c r="B349" s="1">
        <v>45671</v>
      </c>
      <c r="C349">
        <f t="shared" si="8"/>
        <v>2025</v>
      </c>
      <c r="D349" t="str">
        <f t="shared" si="10"/>
        <v>January</v>
      </c>
      <c r="E349" t="str">
        <f t="shared" si="9"/>
        <v>Week2</v>
      </c>
      <c r="F349" t="s">
        <v>1018</v>
      </c>
      <c r="G349" t="s">
        <v>1013</v>
      </c>
      <c r="H349">
        <v>3000</v>
      </c>
      <c r="I349" t="s">
        <v>1027</v>
      </c>
      <c r="J349" t="s">
        <v>1030</v>
      </c>
      <c r="K349" t="s">
        <v>1031</v>
      </c>
    </row>
    <row r="350" spans="1:11" x14ac:dyDescent="0.25">
      <c r="A350" t="s">
        <v>349</v>
      </c>
      <c r="B350" s="1">
        <v>45677</v>
      </c>
      <c r="C350">
        <f t="shared" si="8"/>
        <v>2025</v>
      </c>
      <c r="D350" t="str">
        <f t="shared" si="10"/>
        <v>January</v>
      </c>
      <c r="E350" t="str">
        <f t="shared" si="9"/>
        <v>Week3</v>
      </c>
      <c r="F350" t="s">
        <v>1035</v>
      </c>
      <c r="G350" t="s">
        <v>1197</v>
      </c>
      <c r="H350">
        <v>13000</v>
      </c>
      <c r="I350" t="s">
        <v>1027</v>
      </c>
      <c r="J350" t="s">
        <v>1030</v>
      </c>
      <c r="K350" t="s">
        <v>1031</v>
      </c>
    </row>
    <row r="351" spans="1:11" x14ac:dyDescent="0.25">
      <c r="A351" t="s">
        <v>350</v>
      </c>
      <c r="B351" s="1">
        <v>45677</v>
      </c>
      <c r="C351">
        <f t="shared" si="8"/>
        <v>2025</v>
      </c>
      <c r="D351" t="str">
        <f t="shared" si="10"/>
        <v>January</v>
      </c>
      <c r="E351" t="str">
        <f t="shared" si="9"/>
        <v>Week3</v>
      </c>
      <c r="F351" t="s">
        <v>1070</v>
      </c>
      <c r="G351" t="s">
        <v>1010</v>
      </c>
      <c r="H351">
        <v>6000</v>
      </c>
      <c r="I351" t="s">
        <v>1027</v>
      </c>
      <c r="J351" t="s">
        <v>1030</v>
      </c>
      <c r="K351" t="s">
        <v>1031</v>
      </c>
    </row>
    <row r="352" spans="1:11" x14ac:dyDescent="0.25">
      <c r="A352" t="s">
        <v>351</v>
      </c>
      <c r="B352" s="1">
        <v>45677</v>
      </c>
      <c r="C352">
        <f t="shared" si="8"/>
        <v>2025</v>
      </c>
      <c r="D352" t="str">
        <f t="shared" si="10"/>
        <v>January</v>
      </c>
      <c r="E352" t="str">
        <f t="shared" si="9"/>
        <v>Week3</v>
      </c>
      <c r="F352" t="s">
        <v>1094</v>
      </c>
      <c r="G352" t="s">
        <v>1198</v>
      </c>
      <c r="H352">
        <v>3000</v>
      </c>
      <c r="I352" t="s">
        <v>1029</v>
      </c>
      <c r="J352" t="s">
        <v>1030</v>
      </c>
      <c r="K352" t="s">
        <v>1031</v>
      </c>
    </row>
    <row r="353" spans="1:11" x14ac:dyDescent="0.25">
      <c r="A353" t="s">
        <v>352</v>
      </c>
      <c r="B353" s="1">
        <v>45678</v>
      </c>
      <c r="C353">
        <f t="shared" si="8"/>
        <v>2025</v>
      </c>
      <c r="D353" t="str">
        <f t="shared" si="10"/>
        <v>January</v>
      </c>
      <c r="E353" t="str">
        <f t="shared" si="9"/>
        <v>Week3</v>
      </c>
      <c r="F353" t="s">
        <v>1018</v>
      </c>
      <c r="G353" t="s">
        <v>1013</v>
      </c>
      <c r="H353">
        <v>4000</v>
      </c>
      <c r="I353" t="s">
        <v>1027</v>
      </c>
      <c r="J353" t="s">
        <v>1030</v>
      </c>
      <c r="K353" t="s">
        <v>1031</v>
      </c>
    </row>
    <row r="354" spans="1:11" x14ac:dyDescent="0.25">
      <c r="A354" t="s">
        <v>353</v>
      </c>
      <c r="B354" s="1">
        <v>45678</v>
      </c>
      <c r="C354">
        <f t="shared" si="8"/>
        <v>2025</v>
      </c>
      <c r="D354" t="str">
        <f t="shared" si="10"/>
        <v>January</v>
      </c>
      <c r="E354" t="str">
        <f t="shared" si="9"/>
        <v>Week3</v>
      </c>
      <c r="F354" t="s">
        <v>1123</v>
      </c>
      <c r="G354" t="s">
        <v>1010</v>
      </c>
      <c r="H354">
        <v>3000</v>
      </c>
      <c r="I354" t="s">
        <v>1029</v>
      </c>
      <c r="J354" t="s">
        <v>1030</v>
      </c>
      <c r="K354" t="s">
        <v>1031</v>
      </c>
    </row>
    <row r="355" spans="1:11" x14ac:dyDescent="0.25">
      <c r="A355" t="s">
        <v>354</v>
      </c>
      <c r="B355" s="1">
        <v>45680</v>
      </c>
      <c r="C355">
        <f t="shared" si="8"/>
        <v>2025</v>
      </c>
      <c r="D355" t="str">
        <f t="shared" si="10"/>
        <v>January</v>
      </c>
      <c r="E355" t="str">
        <f t="shared" si="9"/>
        <v>Week4</v>
      </c>
      <c r="F355" t="s">
        <v>1124</v>
      </c>
      <c r="G355" t="s">
        <v>1010</v>
      </c>
      <c r="H355">
        <v>6000</v>
      </c>
      <c r="I355" t="s">
        <v>1027</v>
      </c>
      <c r="J355" t="s">
        <v>1030</v>
      </c>
      <c r="K355" t="s">
        <v>1031</v>
      </c>
    </row>
    <row r="356" spans="1:11" x14ac:dyDescent="0.25">
      <c r="A356" t="s">
        <v>355</v>
      </c>
      <c r="B356" s="1">
        <v>45684</v>
      </c>
      <c r="C356">
        <f t="shared" si="8"/>
        <v>2025</v>
      </c>
      <c r="D356" t="str">
        <f t="shared" si="10"/>
        <v>January</v>
      </c>
      <c r="E356" t="str">
        <f t="shared" si="9"/>
        <v>Week4</v>
      </c>
      <c r="F356" t="s">
        <v>1045</v>
      </c>
      <c r="G356" t="s">
        <v>1197</v>
      </c>
      <c r="H356">
        <v>64000</v>
      </c>
      <c r="I356" t="s">
        <v>1027</v>
      </c>
      <c r="J356" t="s">
        <v>1030</v>
      </c>
      <c r="K356" t="s">
        <v>1031</v>
      </c>
    </row>
    <row r="357" spans="1:11" x14ac:dyDescent="0.25">
      <c r="A357" t="s">
        <v>356</v>
      </c>
      <c r="B357" s="1">
        <v>45684</v>
      </c>
      <c r="C357">
        <f t="shared" si="8"/>
        <v>2025</v>
      </c>
      <c r="D357" t="str">
        <f t="shared" si="10"/>
        <v>January</v>
      </c>
      <c r="E357" t="str">
        <f t="shared" si="9"/>
        <v>Week4</v>
      </c>
      <c r="F357" t="s">
        <v>1125</v>
      </c>
      <c r="G357" t="s">
        <v>1012</v>
      </c>
      <c r="H357">
        <v>76000</v>
      </c>
      <c r="I357" t="s">
        <v>1027</v>
      </c>
      <c r="J357" t="s">
        <v>1030</v>
      </c>
      <c r="K357" t="s">
        <v>1031</v>
      </c>
    </row>
    <row r="358" spans="1:11" x14ac:dyDescent="0.25">
      <c r="A358" t="s">
        <v>357</v>
      </c>
      <c r="B358" s="1">
        <v>45684</v>
      </c>
      <c r="C358">
        <f t="shared" si="8"/>
        <v>2025</v>
      </c>
      <c r="D358" t="str">
        <f t="shared" si="10"/>
        <v>January</v>
      </c>
      <c r="E358" t="str">
        <f t="shared" si="9"/>
        <v>Week4</v>
      </c>
      <c r="F358" t="s">
        <v>1126</v>
      </c>
      <c r="G358" t="s">
        <v>1198</v>
      </c>
      <c r="H358">
        <v>10500</v>
      </c>
      <c r="I358" t="s">
        <v>1027</v>
      </c>
      <c r="J358" t="s">
        <v>1030</v>
      </c>
      <c r="K358" t="s">
        <v>1031</v>
      </c>
    </row>
    <row r="359" spans="1:11" x14ac:dyDescent="0.25">
      <c r="A359" t="s">
        <v>358</v>
      </c>
      <c r="B359" s="1">
        <v>45686</v>
      </c>
      <c r="C359">
        <f t="shared" si="8"/>
        <v>2025</v>
      </c>
      <c r="D359" t="str">
        <f t="shared" si="10"/>
        <v>January</v>
      </c>
      <c r="E359" t="str">
        <f t="shared" si="9"/>
        <v>Week5</v>
      </c>
      <c r="F359" t="s">
        <v>1127</v>
      </c>
      <c r="G359" t="s">
        <v>1014</v>
      </c>
      <c r="H359">
        <v>4500</v>
      </c>
      <c r="I359" t="s">
        <v>1028</v>
      </c>
      <c r="J359" t="s">
        <v>1030</v>
      </c>
      <c r="K359" t="s">
        <v>1031</v>
      </c>
    </row>
    <row r="360" spans="1:11" x14ac:dyDescent="0.25">
      <c r="A360" t="s">
        <v>359</v>
      </c>
      <c r="B360" s="1">
        <v>45686</v>
      </c>
      <c r="C360">
        <f t="shared" si="8"/>
        <v>2025</v>
      </c>
      <c r="D360" t="str">
        <f t="shared" si="10"/>
        <v>January</v>
      </c>
      <c r="E360" t="str">
        <f t="shared" si="9"/>
        <v>Week5</v>
      </c>
      <c r="F360" t="s">
        <v>1119</v>
      </c>
      <c r="G360" t="s">
        <v>1011</v>
      </c>
      <c r="H360">
        <v>26000</v>
      </c>
      <c r="I360" t="s">
        <v>1028</v>
      </c>
      <c r="J360" t="s">
        <v>1030</v>
      </c>
      <c r="K360" t="s">
        <v>1031</v>
      </c>
    </row>
    <row r="361" spans="1:11" x14ac:dyDescent="0.25">
      <c r="A361" t="s">
        <v>360</v>
      </c>
      <c r="B361" s="1">
        <v>45687</v>
      </c>
      <c r="C361">
        <f t="shared" si="8"/>
        <v>2025</v>
      </c>
      <c r="D361" t="str">
        <f t="shared" si="10"/>
        <v>January</v>
      </c>
      <c r="E361" t="str">
        <f t="shared" si="9"/>
        <v>Week5</v>
      </c>
      <c r="F361" t="s">
        <v>1025</v>
      </c>
      <c r="G361" t="s">
        <v>1014</v>
      </c>
      <c r="H361">
        <v>5000</v>
      </c>
      <c r="I361" t="s">
        <v>1027</v>
      </c>
      <c r="J361" t="s">
        <v>1030</v>
      </c>
      <c r="K361" t="s">
        <v>1031</v>
      </c>
    </row>
    <row r="362" spans="1:11" x14ac:dyDescent="0.25">
      <c r="A362" t="s">
        <v>361</v>
      </c>
      <c r="B362" s="1">
        <v>45688</v>
      </c>
      <c r="C362">
        <f t="shared" si="8"/>
        <v>2025</v>
      </c>
      <c r="D362" t="str">
        <f t="shared" si="10"/>
        <v>January</v>
      </c>
      <c r="E362" t="str">
        <f t="shared" si="9"/>
        <v>Week5</v>
      </c>
      <c r="F362" t="s">
        <v>1023</v>
      </c>
      <c r="G362" t="s">
        <v>1201</v>
      </c>
      <c r="H362">
        <v>10000</v>
      </c>
      <c r="I362" t="s">
        <v>1027</v>
      </c>
      <c r="J362" t="s">
        <v>1030</v>
      </c>
      <c r="K362" t="s">
        <v>1031</v>
      </c>
    </row>
    <row r="363" spans="1:11" x14ac:dyDescent="0.25">
      <c r="A363" t="s">
        <v>362</v>
      </c>
      <c r="B363" s="1">
        <v>45658</v>
      </c>
      <c r="C363">
        <f t="shared" si="8"/>
        <v>2025</v>
      </c>
      <c r="D363" t="str">
        <f t="shared" si="10"/>
        <v>January</v>
      </c>
      <c r="E363" t="str">
        <f t="shared" si="9"/>
        <v>Week1</v>
      </c>
      <c r="F363" t="s">
        <v>1018</v>
      </c>
      <c r="G363" t="s">
        <v>1013</v>
      </c>
      <c r="H363">
        <v>5000</v>
      </c>
      <c r="I363" t="s">
        <v>1027</v>
      </c>
      <c r="J363" t="s">
        <v>1030</v>
      </c>
      <c r="K363" t="s">
        <v>1031</v>
      </c>
    </row>
    <row r="364" spans="1:11" x14ac:dyDescent="0.25">
      <c r="A364" t="s">
        <v>363</v>
      </c>
      <c r="B364" s="1">
        <v>45677</v>
      </c>
      <c r="C364">
        <f t="shared" si="8"/>
        <v>2025</v>
      </c>
      <c r="D364" t="str">
        <f t="shared" si="10"/>
        <v>January</v>
      </c>
      <c r="E364" t="str">
        <f t="shared" si="9"/>
        <v>Week3</v>
      </c>
      <c r="F364" t="s">
        <v>1120</v>
      </c>
      <c r="G364" t="s">
        <v>1014</v>
      </c>
      <c r="H364">
        <v>3000</v>
      </c>
      <c r="I364" t="s">
        <v>1027</v>
      </c>
      <c r="J364" t="s">
        <v>1030</v>
      </c>
      <c r="K364" t="s">
        <v>1031</v>
      </c>
    </row>
    <row r="365" spans="1:11" x14ac:dyDescent="0.25">
      <c r="A365" t="s">
        <v>364</v>
      </c>
      <c r="B365" s="1">
        <v>45691</v>
      </c>
      <c r="C365">
        <f t="shared" si="8"/>
        <v>2025</v>
      </c>
      <c r="D365" t="str">
        <f t="shared" si="10"/>
        <v>February</v>
      </c>
      <c r="E365" t="str">
        <f t="shared" si="9"/>
        <v>Week1</v>
      </c>
      <c r="F365" t="s">
        <v>1035</v>
      </c>
      <c r="G365" t="s">
        <v>1197</v>
      </c>
      <c r="H365">
        <v>13000</v>
      </c>
      <c r="I365" t="s">
        <v>1027</v>
      </c>
      <c r="J365" t="s">
        <v>1030</v>
      </c>
      <c r="K365" t="s">
        <v>1031</v>
      </c>
    </row>
    <row r="366" spans="1:11" x14ac:dyDescent="0.25">
      <c r="A366" t="s">
        <v>365</v>
      </c>
      <c r="B366" s="1">
        <v>45691</v>
      </c>
      <c r="C366">
        <f t="shared" si="8"/>
        <v>2025</v>
      </c>
      <c r="D366" t="str">
        <f t="shared" si="10"/>
        <v>February</v>
      </c>
      <c r="E366" t="str">
        <f t="shared" si="9"/>
        <v>Week1</v>
      </c>
      <c r="F366" t="s">
        <v>1128</v>
      </c>
      <c r="G366" t="s">
        <v>1015</v>
      </c>
      <c r="H366">
        <v>5000</v>
      </c>
      <c r="I366" t="s">
        <v>1029</v>
      </c>
      <c r="J366" t="s">
        <v>1030</v>
      </c>
      <c r="K366" t="s">
        <v>1031</v>
      </c>
    </row>
    <row r="367" spans="1:11" x14ac:dyDescent="0.25">
      <c r="A367" t="s">
        <v>366</v>
      </c>
      <c r="B367" s="1">
        <v>45691</v>
      </c>
      <c r="C367">
        <f t="shared" si="8"/>
        <v>2025</v>
      </c>
      <c r="D367" t="str">
        <f t="shared" si="10"/>
        <v>February</v>
      </c>
      <c r="E367" t="str">
        <f t="shared" si="9"/>
        <v>Week1</v>
      </c>
      <c r="F367" t="s">
        <v>1129</v>
      </c>
      <c r="G367" t="s">
        <v>1199</v>
      </c>
      <c r="H367">
        <v>20000</v>
      </c>
      <c r="I367" t="s">
        <v>1027</v>
      </c>
      <c r="J367" t="s">
        <v>1030</v>
      </c>
      <c r="K367" t="s">
        <v>1031</v>
      </c>
    </row>
    <row r="368" spans="1:11" x14ac:dyDescent="0.25">
      <c r="A368" t="s">
        <v>367</v>
      </c>
      <c r="B368" s="1">
        <v>45691</v>
      </c>
      <c r="C368">
        <f t="shared" si="8"/>
        <v>2025</v>
      </c>
      <c r="D368" t="str">
        <f t="shared" si="10"/>
        <v>February</v>
      </c>
      <c r="E368" t="str">
        <f t="shared" si="9"/>
        <v>Week1</v>
      </c>
      <c r="F368" t="s">
        <v>1119</v>
      </c>
      <c r="G368" t="s">
        <v>1011</v>
      </c>
      <c r="H368">
        <v>25000</v>
      </c>
      <c r="I368" t="s">
        <v>1027</v>
      </c>
      <c r="J368" t="s">
        <v>1030</v>
      </c>
      <c r="K368" t="s">
        <v>1031</v>
      </c>
    </row>
    <row r="369" spans="1:11" x14ac:dyDescent="0.25">
      <c r="A369" t="s">
        <v>368</v>
      </c>
      <c r="B369" s="1">
        <v>45691</v>
      </c>
      <c r="C369">
        <f t="shared" si="8"/>
        <v>2025</v>
      </c>
      <c r="D369" t="str">
        <f t="shared" si="10"/>
        <v>February</v>
      </c>
      <c r="E369" t="str">
        <f t="shared" si="9"/>
        <v>Week1</v>
      </c>
      <c r="F369" t="s">
        <v>1037</v>
      </c>
      <c r="G369" t="s">
        <v>1199</v>
      </c>
      <c r="H369">
        <v>20000</v>
      </c>
      <c r="I369" t="s">
        <v>1027</v>
      </c>
      <c r="J369" t="s">
        <v>1030</v>
      </c>
      <c r="K369" t="s">
        <v>1031</v>
      </c>
    </row>
    <row r="370" spans="1:11" x14ac:dyDescent="0.25">
      <c r="A370" t="s">
        <v>369</v>
      </c>
      <c r="B370" s="1">
        <v>45691</v>
      </c>
      <c r="C370">
        <f t="shared" si="8"/>
        <v>2025</v>
      </c>
      <c r="D370" t="str">
        <f t="shared" si="10"/>
        <v>February</v>
      </c>
      <c r="E370" t="str">
        <f t="shared" si="9"/>
        <v>Week1</v>
      </c>
      <c r="F370" t="s">
        <v>1098</v>
      </c>
      <c r="G370" t="s">
        <v>1015</v>
      </c>
      <c r="H370">
        <v>3000</v>
      </c>
      <c r="I370" t="s">
        <v>1027</v>
      </c>
      <c r="J370" t="s">
        <v>1030</v>
      </c>
      <c r="K370" t="s">
        <v>1031</v>
      </c>
    </row>
    <row r="371" spans="1:11" x14ac:dyDescent="0.25">
      <c r="A371" t="s">
        <v>370</v>
      </c>
      <c r="B371" s="1">
        <v>45692</v>
      </c>
      <c r="C371">
        <f t="shared" si="8"/>
        <v>2025</v>
      </c>
      <c r="D371" t="str">
        <f t="shared" si="10"/>
        <v>February</v>
      </c>
      <c r="E371" t="str">
        <f t="shared" si="9"/>
        <v>Week1</v>
      </c>
      <c r="F371" t="s">
        <v>1033</v>
      </c>
      <c r="G371" t="s">
        <v>1014</v>
      </c>
      <c r="H371">
        <v>101600</v>
      </c>
      <c r="I371" t="s">
        <v>1028</v>
      </c>
      <c r="J371" t="s">
        <v>1030</v>
      </c>
      <c r="K371" t="s">
        <v>1031</v>
      </c>
    </row>
    <row r="372" spans="1:11" x14ac:dyDescent="0.25">
      <c r="A372" t="s">
        <v>371</v>
      </c>
      <c r="B372" s="1">
        <v>45693</v>
      </c>
      <c r="C372">
        <f t="shared" si="8"/>
        <v>2025</v>
      </c>
      <c r="D372" t="str">
        <f t="shared" si="10"/>
        <v>February</v>
      </c>
      <c r="E372" t="str">
        <f t="shared" si="9"/>
        <v>Week1</v>
      </c>
      <c r="F372" t="s">
        <v>1130</v>
      </c>
      <c r="G372" t="s">
        <v>1198</v>
      </c>
      <c r="H372">
        <v>4000</v>
      </c>
      <c r="I372" t="s">
        <v>1029</v>
      </c>
      <c r="J372" t="s">
        <v>1030</v>
      </c>
      <c r="K372" t="s">
        <v>1031</v>
      </c>
    </row>
    <row r="373" spans="1:11" x14ac:dyDescent="0.25">
      <c r="A373" t="s">
        <v>372</v>
      </c>
      <c r="B373" s="1">
        <v>45705</v>
      </c>
      <c r="C373">
        <f t="shared" si="8"/>
        <v>2025</v>
      </c>
      <c r="D373" t="str">
        <f t="shared" si="10"/>
        <v>February</v>
      </c>
      <c r="E373" t="str">
        <f t="shared" si="9"/>
        <v>Week3</v>
      </c>
      <c r="F373" t="s">
        <v>1131</v>
      </c>
      <c r="G373" t="s">
        <v>1012</v>
      </c>
      <c r="H373">
        <v>3000</v>
      </c>
      <c r="I373" t="s">
        <v>1029</v>
      </c>
      <c r="J373" t="s">
        <v>1030</v>
      </c>
      <c r="K373" t="s">
        <v>1031</v>
      </c>
    </row>
    <row r="374" spans="1:11" x14ac:dyDescent="0.25">
      <c r="A374" t="s">
        <v>373</v>
      </c>
      <c r="B374" s="1">
        <v>45705</v>
      </c>
      <c r="C374">
        <f t="shared" si="8"/>
        <v>2025</v>
      </c>
      <c r="D374" t="str">
        <f t="shared" si="10"/>
        <v>February</v>
      </c>
      <c r="E374" t="str">
        <f t="shared" si="9"/>
        <v>Week3</v>
      </c>
      <c r="F374" t="s">
        <v>1035</v>
      </c>
      <c r="G374" t="s">
        <v>1197</v>
      </c>
      <c r="H374">
        <v>13000</v>
      </c>
      <c r="I374" t="s">
        <v>1027</v>
      </c>
      <c r="J374" t="s">
        <v>1030</v>
      </c>
      <c r="K374" t="s">
        <v>1031</v>
      </c>
    </row>
    <row r="375" spans="1:11" x14ac:dyDescent="0.25">
      <c r="A375" t="s">
        <v>374</v>
      </c>
      <c r="B375" s="1">
        <v>45705</v>
      </c>
      <c r="C375">
        <f t="shared" si="8"/>
        <v>2025</v>
      </c>
      <c r="D375" t="str">
        <f t="shared" si="10"/>
        <v>February</v>
      </c>
      <c r="E375" t="str">
        <f t="shared" si="9"/>
        <v>Week3</v>
      </c>
      <c r="F375" t="s">
        <v>1018</v>
      </c>
      <c r="G375" t="s">
        <v>1013</v>
      </c>
      <c r="H375">
        <v>3000</v>
      </c>
      <c r="I375" t="s">
        <v>1027</v>
      </c>
      <c r="J375" t="s">
        <v>1030</v>
      </c>
      <c r="K375" t="s">
        <v>1031</v>
      </c>
    </row>
    <row r="376" spans="1:11" x14ac:dyDescent="0.25">
      <c r="A376" t="s">
        <v>375</v>
      </c>
      <c r="B376" s="1">
        <v>45707</v>
      </c>
      <c r="C376">
        <f t="shared" si="8"/>
        <v>2025</v>
      </c>
      <c r="D376" t="str">
        <f t="shared" si="10"/>
        <v>February</v>
      </c>
      <c r="E376" t="str">
        <f t="shared" si="9"/>
        <v>Week3</v>
      </c>
      <c r="F376" t="s">
        <v>1132</v>
      </c>
      <c r="G376" t="s">
        <v>1012</v>
      </c>
      <c r="H376">
        <v>5000</v>
      </c>
      <c r="I376" t="s">
        <v>1027</v>
      </c>
      <c r="J376" t="s">
        <v>1030</v>
      </c>
      <c r="K376" t="s">
        <v>1031</v>
      </c>
    </row>
    <row r="377" spans="1:11" x14ac:dyDescent="0.25">
      <c r="A377" t="s">
        <v>376</v>
      </c>
      <c r="B377" s="1">
        <v>45707</v>
      </c>
      <c r="C377">
        <f t="shared" si="8"/>
        <v>2025</v>
      </c>
      <c r="D377" t="str">
        <f t="shared" si="10"/>
        <v>February</v>
      </c>
      <c r="E377" t="str">
        <f t="shared" si="9"/>
        <v>Week3</v>
      </c>
      <c r="F377" t="s">
        <v>1102</v>
      </c>
      <c r="G377" t="s">
        <v>1011</v>
      </c>
      <c r="H377">
        <v>25000</v>
      </c>
      <c r="I377" t="s">
        <v>1027</v>
      </c>
      <c r="J377" t="s">
        <v>1030</v>
      </c>
      <c r="K377" t="s">
        <v>1031</v>
      </c>
    </row>
    <row r="378" spans="1:11" x14ac:dyDescent="0.25">
      <c r="A378" t="s">
        <v>377</v>
      </c>
      <c r="B378" s="1">
        <v>45708</v>
      </c>
      <c r="C378">
        <f t="shared" si="8"/>
        <v>2025</v>
      </c>
      <c r="D378" t="str">
        <f t="shared" si="10"/>
        <v>February</v>
      </c>
      <c r="E378" t="str">
        <f t="shared" si="9"/>
        <v>Week3</v>
      </c>
      <c r="F378" t="s">
        <v>1102</v>
      </c>
      <c r="G378" t="s">
        <v>1011</v>
      </c>
      <c r="H378">
        <v>27000</v>
      </c>
      <c r="I378" t="s">
        <v>1027</v>
      </c>
      <c r="J378" t="s">
        <v>1030</v>
      </c>
      <c r="K378" t="s">
        <v>1031</v>
      </c>
    </row>
    <row r="379" spans="1:11" x14ac:dyDescent="0.25">
      <c r="A379" t="s">
        <v>378</v>
      </c>
      <c r="B379" s="1">
        <v>45712</v>
      </c>
      <c r="C379">
        <f t="shared" si="8"/>
        <v>2025</v>
      </c>
      <c r="D379" t="str">
        <f t="shared" si="10"/>
        <v>February</v>
      </c>
      <c r="E379" t="str">
        <f t="shared" si="9"/>
        <v>Week4</v>
      </c>
      <c r="F379" t="s">
        <v>1133</v>
      </c>
      <c r="G379" t="s">
        <v>1010</v>
      </c>
      <c r="H379">
        <v>15000</v>
      </c>
      <c r="I379" t="s">
        <v>1028</v>
      </c>
      <c r="J379" t="s">
        <v>1030</v>
      </c>
      <c r="K379" t="s">
        <v>1031</v>
      </c>
    </row>
    <row r="380" spans="1:11" x14ac:dyDescent="0.25">
      <c r="A380" t="s">
        <v>379</v>
      </c>
      <c r="B380" s="1">
        <v>45698</v>
      </c>
      <c r="C380">
        <f t="shared" si="8"/>
        <v>2025</v>
      </c>
      <c r="D380" t="str">
        <f t="shared" si="10"/>
        <v>February</v>
      </c>
      <c r="E380" t="str">
        <f t="shared" si="9"/>
        <v>Week2</v>
      </c>
      <c r="F380" t="s">
        <v>1035</v>
      </c>
      <c r="G380" t="s">
        <v>1197</v>
      </c>
      <c r="H380">
        <v>13000</v>
      </c>
      <c r="I380" t="s">
        <v>1027</v>
      </c>
      <c r="J380" t="s">
        <v>1030</v>
      </c>
      <c r="K380" t="s">
        <v>1031</v>
      </c>
    </row>
    <row r="381" spans="1:11" x14ac:dyDescent="0.25">
      <c r="A381" t="s">
        <v>380</v>
      </c>
      <c r="B381" s="1">
        <v>45700</v>
      </c>
      <c r="C381">
        <f t="shared" si="8"/>
        <v>2025</v>
      </c>
      <c r="D381" t="str">
        <f t="shared" si="10"/>
        <v>February</v>
      </c>
      <c r="E381" t="str">
        <f t="shared" si="9"/>
        <v>Week2</v>
      </c>
      <c r="F381" t="s">
        <v>1106</v>
      </c>
      <c r="G381" t="s">
        <v>1010</v>
      </c>
      <c r="H381">
        <v>6000</v>
      </c>
      <c r="I381" t="s">
        <v>1027</v>
      </c>
      <c r="J381" t="s">
        <v>1030</v>
      </c>
      <c r="K381" t="s">
        <v>1031</v>
      </c>
    </row>
    <row r="382" spans="1:11" x14ac:dyDescent="0.25">
      <c r="A382" t="s">
        <v>381</v>
      </c>
      <c r="B382" s="1">
        <v>45702</v>
      </c>
      <c r="C382">
        <f t="shared" si="8"/>
        <v>2025</v>
      </c>
      <c r="D382" t="str">
        <f t="shared" si="10"/>
        <v>February</v>
      </c>
      <c r="E382" t="str">
        <f t="shared" si="9"/>
        <v>Week2</v>
      </c>
      <c r="F382" t="s">
        <v>1134</v>
      </c>
      <c r="G382" t="s">
        <v>1012</v>
      </c>
      <c r="H382">
        <v>32000</v>
      </c>
      <c r="I382" t="s">
        <v>1027</v>
      </c>
      <c r="J382" t="s">
        <v>1030</v>
      </c>
      <c r="K382" t="s">
        <v>1031</v>
      </c>
    </row>
    <row r="383" spans="1:11" x14ac:dyDescent="0.25">
      <c r="A383" t="s">
        <v>382</v>
      </c>
      <c r="B383" s="1">
        <v>45701</v>
      </c>
      <c r="C383">
        <f t="shared" si="8"/>
        <v>2025</v>
      </c>
      <c r="D383" t="str">
        <f t="shared" si="10"/>
        <v>February</v>
      </c>
      <c r="E383" t="str">
        <f t="shared" si="9"/>
        <v>Week2</v>
      </c>
      <c r="F383" t="s">
        <v>1120</v>
      </c>
      <c r="G383" t="s">
        <v>1014</v>
      </c>
      <c r="H383">
        <v>4500</v>
      </c>
      <c r="I383" t="s">
        <v>1028</v>
      </c>
      <c r="J383" t="s">
        <v>1030</v>
      </c>
      <c r="K383" t="s">
        <v>1031</v>
      </c>
    </row>
    <row r="384" spans="1:11" x14ac:dyDescent="0.25">
      <c r="A384" t="s">
        <v>383</v>
      </c>
      <c r="B384" s="1">
        <v>45705</v>
      </c>
      <c r="C384">
        <f t="shared" si="8"/>
        <v>2025</v>
      </c>
      <c r="D384" t="str">
        <f t="shared" si="10"/>
        <v>February</v>
      </c>
      <c r="E384" t="str">
        <f t="shared" si="9"/>
        <v>Week3</v>
      </c>
      <c r="F384" t="s">
        <v>1102</v>
      </c>
      <c r="G384" t="s">
        <v>1011</v>
      </c>
      <c r="H384">
        <v>27000</v>
      </c>
      <c r="I384" t="s">
        <v>1027</v>
      </c>
      <c r="J384" t="s">
        <v>1030</v>
      </c>
      <c r="K384" t="s">
        <v>1031</v>
      </c>
    </row>
    <row r="385" spans="1:11" x14ac:dyDescent="0.25">
      <c r="A385" t="s">
        <v>384</v>
      </c>
      <c r="B385" s="1">
        <v>45698</v>
      </c>
      <c r="C385">
        <f t="shared" si="8"/>
        <v>2025</v>
      </c>
      <c r="D385" t="str">
        <f t="shared" si="10"/>
        <v>February</v>
      </c>
      <c r="E385" t="str">
        <f t="shared" si="9"/>
        <v>Week2</v>
      </c>
      <c r="F385" t="s">
        <v>1025</v>
      </c>
      <c r="G385" t="s">
        <v>1014</v>
      </c>
      <c r="H385">
        <v>5000</v>
      </c>
      <c r="I385" t="s">
        <v>1027</v>
      </c>
      <c r="J385" t="s">
        <v>1030</v>
      </c>
      <c r="K385" t="s">
        <v>1031</v>
      </c>
    </row>
    <row r="386" spans="1:11" x14ac:dyDescent="0.25">
      <c r="A386" t="s">
        <v>385</v>
      </c>
      <c r="B386" s="1">
        <v>45708</v>
      </c>
      <c r="C386">
        <f t="shared" si="8"/>
        <v>2025</v>
      </c>
      <c r="D386" t="str">
        <f t="shared" si="10"/>
        <v>February</v>
      </c>
      <c r="E386" t="str">
        <f t="shared" si="9"/>
        <v>Week3</v>
      </c>
      <c r="F386" t="s">
        <v>1040</v>
      </c>
      <c r="G386" t="s">
        <v>1199</v>
      </c>
      <c r="H386">
        <v>20000</v>
      </c>
      <c r="I386" t="s">
        <v>1027</v>
      </c>
      <c r="J386" t="s">
        <v>1030</v>
      </c>
      <c r="K386" t="s">
        <v>1031</v>
      </c>
    </row>
    <row r="387" spans="1:11" x14ac:dyDescent="0.25">
      <c r="A387" t="s">
        <v>386</v>
      </c>
      <c r="B387" s="1">
        <v>45712</v>
      </c>
      <c r="C387">
        <f t="shared" si="8"/>
        <v>2025</v>
      </c>
      <c r="D387" t="str">
        <f t="shared" si="10"/>
        <v>February</v>
      </c>
      <c r="E387" t="str">
        <f t="shared" si="9"/>
        <v>Week4</v>
      </c>
      <c r="F387" t="s">
        <v>1035</v>
      </c>
      <c r="G387" t="s">
        <v>1197</v>
      </c>
      <c r="H387">
        <v>13000</v>
      </c>
      <c r="I387" t="s">
        <v>1027</v>
      </c>
      <c r="J387" t="s">
        <v>1030</v>
      </c>
      <c r="K387" t="s">
        <v>1031</v>
      </c>
    </row>
    <row r="388" spans="1:11" x14ac:dyDescent="0.25">
      <c r="A388" t="s">
        <v>387</v>
      </c>
      <c r="B388" s="1">
        <v>45713</v>
      </c>
      <c r="C388">
        <f t="shared" si="8"/>
        <v>2025</v>
      </c>
      <c r="D388" t="str">
        <f t="shared" si="10"/>
        <v>February</v>
      </c>
      <c r="E388" t="str">
        <f t="shared" si="9"/>
        <v>Week4</v>
      </c>
      <c r="F388" t="s">
        <v>1099</v>
      </c>
      <c r="G388" t="s">
        <v>1198</v>
      </c>
      <c r="H388">
        <v>25000</v>
      </c>
      <c r="I388" t="s">
        <v>1027</v>
      </c>
      <c r="J388" t="s">
        <v>1030</v>
      </c>
      <c r="K388" t="s">
        <v>1031</v>
      </c>
    </row>
    <row r="389" spans="1:11" x14ac:dyDescent="0.25">
      <c r="A389" t="s">
        <v>388</v>
      </c>
      <c r="B389" s="1">
        <v>45713</v>
      </c>
      <c r="C389">
        <f t="shared" si="8"/>
        <v>2025</v>
      </c>
      <c r="D389" t="str">
        <f t="shared" si="10"/>
        <v>February</v>
      </c>
      <c r="E389" t="str">
        <f t="shared" si="9"/>
        <v>Week4</v>
      </c>
      <c r="F389" t="s">
        <v>1021</v>
      </c>
      <c r="G389" t="s">
        <v>1010</v>
      </c>
      <c r="H389">
        <v>2500</v>
      </c>
      <c r="I389" t="s">
        <v>1029</v>
      </c>
      <c r="J389" t="s">
        <v>1030</v>
      </c>
      <c r="K389" t="s">
        <v>1031</v>
      </c>
    </row>
    <row r="390" spans="1:11" x14ac:dyDescent="0.25">
      <c r="A390" t="s">
        <v>389</v>
      </c>
      <c r="B390" s="1">
        <v>45714</v>
      </c>
      <c r="C390">
        <f t="shared" si="8"/>
        <v>2025</v>
      </c>
      <c r="D390" t="str">
        <f t="shared" si="10"/>
        <v>February</v>
      </c>
      <c r="E390" t="str">
        <f t="shared" si="9"/>
        <v>Week4</v>
      </c>
      <c r="F390" t="s">
        <v>1135</v>
      </c>
      <c r="G390" t="s">
        <v>1010</v>
      </c>
      <c r="H390">
        <v>2500</v>
      </c>
      <c r="I390" t="s">
        <v>1029</v>
      </c>
      <c r="J390" t="s">
        <v>1030</v>
      </c>
      <c r="K390" t="s">
        <v>1031</v>
      </c>
    </row>
    <row r="391" spans="1:11" x14ac:dyDescent="0.25">
      <c r="A391" t="s">
        <v>390</v>
      </c>
      <c r="B391" s="1">
        <v>45715</v>
      </c>
      <c r="C391">
        <f t="shared" si="8"/>
        <v>2025</v>
      </c>
      <c r="D391" t="str">
        <f t="shared" si="10"/>
        <v>February</v>
      </c>
      <c r="E391" t="str">
        <f t="shared" si="9"/>
        <v>Week4</v>
      </c>
      <c r="F391" t="s">
        <v>1025</v>
      </c>
      <c r="G391" t="s">
        <v>1014</v>
      </c>
      <c r="H391">
        <v>5000</v>
      </c>
      <c r="I391" t="s">
        <v>1027</v>
      </c>
      <c r="J391" t="s">
        <v>1030</v>
      </c>
      <c r="K391" t="s">
        <v>1031</v>
      </c>
    </row>
    <row r="392" spans="1:11" x14ac:dyDescent="0.25">
      <c r="A392" t="s">
        <v>391</v>
      </c>
      <c r="B392" s="1">
        <v>45715</v>
      </c>
      <c r="C392">
        <f t="shared" si="8"/>
        <v>2025</v>
      </c>
      <c r="D392" t="str">
        <f t="shared" si="10"/>
        <v>February</v>
      </c>
      <c r="E392" t="str">
        <f t="shared" si="9"/>
        <v>Week4</v>
      </c>
      <c r="F392" t="s">
        <v>1120</v>
      </c>
      <c r="G392" t="s">
        <v>1014</v>
      </c>
      <c r="H392">
        <v>4500</v>
      </c>
      <c r="I392" t="s">
        <v>1029</v>
      </c>
      <c r="J392" t="s">
        <v>1030</v>
      </c>
      <c r="K392" t="s">
        <v>1031</v>
      </c>
    </row>
    <row r="393" spans="1:11" x14ac:dyDescent="0.25">
      <c r="A393" t="s">
        <v>392</v>
      </c>
      <c r="B393" s="1">
        <v>45715</v>
      </c>
      <c r="C393">
        <f t="shared" si="8"/>
        <v>2025</v>
      </c>
      <c r="D393" t="str">
        <f t="shared" si="10"/>
        <v>February</v>
      </c>
      <c r="E393" t="str">
        <f t="shared" si="9"/>
        <v>Week4</v>
      </c>
      <c r="F393" t="s">
        <v>1102</v>
      </c>
      <c r="G393" t="s">
        <v>1011</v>
      </c>
      <c r="H393">
        <v>25000</v>
      </c>
      <c r="I393" t="s">
        <v>1027</v>
      </c>
      <c r="J393" t="s">
        <v>1030</v>
      </c>
      <c r="K393" t="s">
        <v>1031</v>
      </c>
    </row>
    <row r="394" spans="1:11" x14ac:dyDescent="0.25">
      <c r="A394" t="s">
        <v>393</v>
      </c>
      <c r="B394" s="1">
        <v>45715</v>
      </c>
      <c r="C394">
        <f t="shared" si="8"/>
        <v>2025</v>
      </c>
      <c r="D394" t="str">
        <f t="shared" si="10"/>
        <v>February</v>
      </c>
      <c r="E394" t="str">
        <f t="shared" si="9"/>
        <v>Week4</v>
      </c>
      <c r="F394" t="s">
        <v>1119</v>
      </c>
      <c r="G394" t="s">
        <v>1011</v>
      </c>
      <c r="H394">
        <v>22000</v>
      </c>
      <c r="I394" t="s">
        <v>1027</v>
      </c>
      <c r="J394" t="s">
        <v>1030</v>
      </c>
      <c r="K394" t="s">
        <v>1031</v>
      </c>
    </row>
    <row r="395" spans="1:11" x14ac:dyDescent="0.25">
      <c r="A395" t="s">
        <v>394</v>
      </c>
      <c r="B395" s="1">
        <v>45717</v>
      </c>
      <c r="C395">
        <f t="shared" si="8"/>
        <v>2025</v>
      </c>
      <c r="D395" t="str">
        <f t="shared" si="10"/>
        <v>March</v>
      </c>
      <c r="E395" t="str">
        <f t="shared" si="9"/>
        <v>Week1</v>
      </c>
      <c r="F395" t="s">
        <v>1018</v>
      </c>
      <c r="G395" t="s">
        <v>1013</v>
      </c>
      <c r="H395">
        <v>4000</v>
      </c>
      <c r="I395" t="s">
        <v>1027</v>
      </c>
      <c r="J395" t="s">
        <v>1030</v>
      </c>
      <c r="K395" t="s">
        <v>1031</v>
      </c>
    </row>
    <row r="396" spans="1:11" x14ac:dyDescent="0.25">
      <c r="A396" t="s">
        <v>395</v>
      </c>
      <c r="B396" s="1">
        <v>45719</v>
      </c>
      <c r="C396">
        <f t="shared" si="8"/>
        <v>2025</v>
      </c>
      <c r="D396" t="str">
        <f t="shared" si="10"/>
        <v>March</v>
      </c>
      <c r="E396" t="str">
        <f t="shared" si="9"/>
        <v>Week1</v>
      </c>
      <c r="F396" t="s">
        <v>1049</v>
      </c>
      <c r="G396" t="s">
        <v>1199</v>
      </c>
      <c r="H396">
        <v>24000</v>
      </c>
      <c r="I396" t="s">
        <v>1027</v>
      </c>
      <c r="J396" t="s">
        <v>1030</v>
      </c>
      <c r="K396" t="s">
        <v>1031</v>
      </c>
    </row>
    <row r="397" spans="1:11" x14ac:dyDescent="0.25">
      <c r="A397" t="s">
        <v>396</v>
      </c>
      <c r="B397" s="1">
        <v>45719</v>
      </c>
      <c r="C397">
        <f t="shared" si="8"/>
        <v>2025</v>
      </c>
      <c r="D397" t="str">
        <f t="shared" si="10"/>
        <v>March</v>
      </c>
      <c r="E397" t="str">
        <f t="shared" si="9"/>
        <v>Week1</v>
      </c>
      <c r="F397" t="s">
        <v>1035</v>
      </c>
      <c r="G397" t="s">
        <v>1197</v>
      </c>
      <c r="H397">
        <v>13000</v>
      </c>
      <c r="I397" t="s">
        <v>1027</v>
      </c>
      <c r="J397" t="s">
        <v>1030</v>
      </c>
      <c r="K397" t="s">
        <v>1031</v>
      </c>
    </row>
    <row r="398" spans="1:11" x14ac:dyDescent="0.25">
      <c r="A398" t="s">
        <v>397</v>
      </c>
      <c r="B398" s="1">
        <v>45720</v>
      </c>
      <c r="C398">
        <f t="shared" si="8"/>
        <v>2025</v>
      </c>
      <c r="D398" t="str">
        <f t="shared" si="10"/>
        <v>March</v>
      </c>
      <c r="E398" t="str">
        <f t="shared" si="9"/>
        <v>Week1</v>
      </c>
      <c r="F398" t="s">
        <v>1033</v>
      </c>
      <c r="G398" t="s">
        <v>1014</v>
      </c>
      <c r="H398">
        <v>109580</v>
      </c>
      <c r="I398" t="s">
        <v>1028</v>
      </c>
      <c r="J398" t="s">
        <v>1030</v>
      </c>
      <c r="K398" t="s">
        <v>1031</v>
      </c>
    </row>
    <row r="399" spans="1:11" x14ac:dyDescent="0.25">
      <c r="A399" t="s">
        <v>398</v>
      </c>
      <c r="B399" s="1">
        <v>45721</v>
      </c>
      <c r="C399">
        <f t="shared" si="8"/>
        <v>2025</v>
      </c>
      <c r="D399" t="str">
        <f t="shared" si="10"/>
        <v>March</v>
      </c>
      <c r="E399" t="str">
        <f t="shared" si="9"/>
        <v>Week1</v>
      </c>
      <c r="F399" t="s">
        <v>1136</v>
      </c>
      <c r="G399" t="s">
        <v>1198</v>
      </c>
      <c r="H399">
        <v>12000</v>
      </c>
      <c r="I399" t="s">
        <v>1029</v>
      </c>
      <c r="J399" t="s">
        <v>1030</v>
      </c>
      <c r="K399" t="s">
        <v>1031</v>
      </c>
    </row>
    <row r="400" spans="1:11" x14ac:dyDescent="0.25">
      <c r="A400" t="s">
        <v>399</v>
      </c>
      <c r="B400" s="1">
        <v>45721</v>
      </c>
      <c r="C400">
        <f t="shared" si="8"/>
        <v>2025</v>
      </c>
      <c r="D400" t="str">
        <f t="shared" si="10"/>
        <v>March</v>
      </c>
      <c r="E400" t="str">
        <f t="shared" si="9"/>
        <v>Week1</v>
      </c>
      <c r="F400" t="s">
        <v>1137</v>
      </c>
      <c r="G400" t="s">
        <v>1015</v>
      </c>
      <c r="H400">
        <v>10000</v>
      </c>
      <c r="I400" t="s">
        <v>1029</v>
      </c>
      <c r="J400" t="s">
        <v>1030</v>
      </c>
      <c r="K400" t="s">
        <v>1031</v>
      </c>
    </row>
    <row r="401" spans="1:11" x14ac:dyDescent="0.25">
      <c r="A401" t="s">
        <v>400</v>
      </c>
      <c r="B401" s="1">
        <v>45721</v>
      </c>
      <c r="C401">
        <f t="shared" si="8"/>
        <v>2025</v>
      </c>
      <c r="D401" t="str">
        <f t="shared" si="10"/>
        <v>March</v>
      </c>
      <c r="E401" t="str">
        <f t="shared" si="9"/>
        <v>Week1</v>
      </c>
      <c r="F401" t="s">
        <v>1117</v>
      </c>
      <c r="G401" t="s">
        <v>1198</v>
      </c>
      <c r="H401">
        <v>7000</v>
      </c>
      <c r="I401" t="s">
        <v>1027</v>
      </c>
      <c r="J401" t="s">
        <v>1030</v>
      </c>
      <c r="K401" t="s">
        <v>1031</v>
      </c>
    </row>
    <row r="402" spans="1:11" x14ac:dyDescent="0.25">
      <c r="A402" t="s">
        <v>401</v>
      </c>
      <c r="B402" s="1">
        <v>45721</v>
      </c>
      <c r="C402">
        <f t="shared" si="8"/>
        <v>2025</v>
      </c>
      <c r="D402" t="str">
        <f t="shared" si="10"/>
        <v>March</v>
      </c>
      <c r="E402" t="str">
        <f t="shared" si="9"/>
        <v>Week1</v>
      </c>
      <c r="F402" t="s">
        <v>1037</v>
      </c>
      <c r="G402" t="s">
        <v>1199</v>
      </c>
      <c r="H402">
        <v>24000</v>
      </c>
      <c r="I402" t="s">
        <v>1027</v>
      </c>
      <c r="J402" t="s">
        <v>1030</v>
      </c>
      <c r="K402" t="s">
        <v>1031</v>
      </c>
    </row>
    <row r="403" spans="1:11" x14ac:dyDescent="0.25">
      <c r="A403" t="s">
        <v>402</v>
      </c>
      <c r="B403" s="1">
        <v>45722</v>
      </c>
      <c r="C403">
        <f t="shared" si="8"/>
        <v>2025</v>
      </c>
      <c r="D403" t="str">
        <f t="shared" si="10"/>
        <v>March</v>
      </c>
      <c r="E403" t="str">
        <f t="shared" si="9"/>
        <v>Week1</v>
      </c>
      <c r="F403" t="s">
        <v>1138</v>
      </c>
      <c r="G403" t="s">
        <v>1012</v>
      </c>
      <c r="H403">
        <v>25000</v>
      </c>
      <c r="I403" t="s">
        <v>1027</v>
      </c>
      <c r="J403" t="s">
        <v>1030</v>
      </c>
      <c r="K403" t="s">
        <v>1031</v>
      </c>
    </row>
    <row r="404" spans="1:11" x14ac:dyDescent="0.25">
      <c r="A404" t="s">
        <v>403</v>
      </c>
      <c r="B404" s="1">
        <v>45743</v>
      </c>
      <c r="C404">
        <f t="shared" si="8"/>
        <v>2025</v>
      </c>
      <c r="D404" t="str">
        <f t="shared" si="10"/>
        <v>March</v>
      </c>
      <c r="E404" t="str">
        <f t="shared" si="9"/>
        <v>Week4</v>
      </c>
      <c r="F404" t="s">
        <v>1139</v>
      </c>
      <c r="G404" t="s">
        <v>1015</v>
      </c>
      <c r="H404">
        <v>102000</v>
      </c>
      <c r="I404" t="s">
        <v>1027</v>
      </c>
      <c r="J404" t="s">
        <v>1030</v>
      </c>
      <c r="K404" t="s">
        <v>1031</v>
      </c>
    </row>
    <row r="405" spans="1:11" x14ac:dyDescent="0.25">
      <c r="A405" t="s">
        <v>404</v>
      </c>
      <c r="B405" s="1">
        <v>45717</v>
      </c>
      <c r="C405">
        <f t="shared" si="8"/>
        <v>2025</v>
      </c>
      <c r="D405" t="str">
        <f t="shared" si="10"/>
        <v>March</v>
      </c>
      <c r="E405" t="str">
        <f t="shared" si="9"/>
        <v>Week1</v>
      </c>
      <c r="F405" t="s">
        <v>1045</v>
      </c>
      <c r="G405" t="s">
        <v>1197</v>
      </c>
      <c r="H405">
        <v>55000</v>
      </c>
      <c r="I405" t="s">
        <v>1027</v>
      </c>
      <c r="J405" t="s">
        <v>1030</v>
      </c>
      <c r="K405" t="s">
        <v>1031</v>
      </c>
    </row>
    <row r="406" spans="1:11" x14ac:dyDescent="0.25">
      <c r="A406" t="s">
        <v>405</v>
      </c>
      <c r="B406" s="1">
        <v>45726</v>
      </c>
      <c r="C406">
        <f t="shared" si="8"/>
        <v>2025</v>
      </c>
      <c r="D406" t="str">
        <f t="shared" si="10"/>
        <v>March</v>
      </c>
      <c r="E406" t="str">
        <f t="shared" si="9"/>
        <v>Week2</v>
      </c>
      <c r="F406" t="s">
        <v>1040</v>
      </c>
      <c r="G406" t="s">
        <v>1199</v>
      </c>
      <c r="H406">
        <v>24000</v>
      </c>
      <c r="I406" t="s">
        <v>1027</v>
      </c>
      <c r="J406" t="s">
        <v>1030</v>
      </c>
      <c r="K406" t="s">
        <v>1031</v>
      </c>
    </row>
    <row r="407" spans="1:11" x14ac:dyDescent="0.25">
      <c r="A407" t="s">
        <v>406</v>
      </c>
      <c r="B407" s="1">
        <v>45726</v>
      </c>
      <c r="C407">
        <f t="shared" si="8"/>
        <v>2025</v>
      </c>
      <c r="D407" t="str">
        <f t="shared" si="10"/>
        <v>March</v>
      </c>
      <c r="E407" t="str">
        <f t="shared" si="9"/>
        <v>Week2</v>
      </c>
      <c r="F407" t="s">
        <v>1035</v>
      </c>
      <c r="G407" t="s">
        <v>1197</v>
      </c>
      <c r="H407">
        <v>13000</v>
      </c>
      <c r="I407" t="s">
        <v>1027</v>
      </c>
      <c r="J407" t="s">
        <v>1030</v>
      </c>
      <c r="K407" t="s">
        <v>1031</v>
      </c>
    </row>
    <row r="408" spans="1:11" x14ac:dyDescent="0.25">
      <c r="A408" t="s">
        <v>407</v>
      </c>
      <c r="B408" s="1">
        <v>45726</v>
      </c>
      <c r="C408">
        <f t="shared" si="8"/>
        <v>2025</v>
      </c>
      <c r="D408" t="str">
        <f t="shared" si="10"/>
        <v>March</v>
      </c>
      <c r="E408" t="str">
        <f t="shared" si="9"/>
        <v>Week2</v>
      </c>
      <c r="F408" t="s">
        <v>1140</v>
      </c>
      <c r="G408" t="s">
        <v>1010</v>
      </c>
      <c r="H408">
        <v>10000</v>
      </c>
      <c r="I408" t="s">
        <v>1027</v>
      </c>
      <c r="J408" t="s">
        <v>1030</v>
      </c>
      <c r="K408" t="s">
        <v>1031</v>
      </c>
    </row>
    <row r="409" spans="1:11" x14ac:dyDescent="0.25">
      <c r="A409" t="s">
        <v>408</v>
      </c>
      <c r="B409" s="1">
        <v>45727</v>
      </c>
      <c r="C409">
        <f t="shared" si="8"/>
        <v>2025</v>
      </c>
      <c r="D409" t="str">
        <f t="shared" si="10"/>
        <v>March</v>
      </c>
      <c r="E409" t="str">
        <f t="shared" si="9"/>
        <v>Week2</v>
      </c>
      <c r="F409" t="s">
        <v>1018</v>
      </c>
      <c r="G409" t="s">
        <v>1013</v>
      </c>
      <c r="H409">
        <v>4000</v>
      </c>
      <c r="I409" t="s">
        <v>1027</v>
      </c>
      <c r="J409" t="s">
        <v>1030</v>
      </c>
      <c r="K409" t="s">
        <v>1031</v>
      </c>
    </row>
    <row r="410" spans="1:11" x14ac:dyDescent="0.25">
      <c r="A410" t="s">
        <v>409</v>
      </c>
      <c r="B410" s="1">
        <v>45729</v>
      </c>
      <c r="C410">
        <f t="shared" si="8"/>
        <v>2025</v>
      </c>
      <c r="D410" t="str">
        <f t="shared" si="10"/>
        <v>March</v>
      </c>
      <c r="E410" t="str">
        <f t="shared" si="9"/>
        <v>Week2</v>
      </c>
      <c r="F410" t="s">
        <v>1106</v>
      </c>
      <c r="G410" t="s">
        <v>1010</v>
      </c>
      <c r="H410">
        <v>7000</v>
      </c>
      <c r="I410" t="s">
        <v>1027</v>
      </c>
      <c r="J410" t="s">
        <v>1030</v>
      </c>
      <c r="K410" t="s">
        <v>1031</v>
      </c>
    </row>
    <row r="411" spans="1:11" x14ac:dyDescent="0.25">
      <c r="A411" t="s">
        <v>410</v>
      </c>
      <c r="B411" s="1">
        <v>45729</v>
      </c>
      <c r="C411">
        <f t="shared" si="8"/>
        <v>2025</v>
      </c>
      <c r="D411" t="str">
        <f t="shared" si="10"/>
        <v>March</v>
      </c>
      <c r="E411" t="str">
        <f t="shared" si="9"/>
        <v>Week2</v>
      </c>
      <c r="F411" t="s">
        <v>1041</v>
      </c>
      <c r="G411" t="s">
        <v>1010</v>
      </c>
      <c r="H411">
        <v>2800</v>
      </c>
      <c r="I411" t="s">
        <v>1027</v>
      </c>
      <c r="J411" t="s">
        <v>1030</v>
      </c>
      <c r="K411" t="s">
        <v>1031</v>
      </c>
    </row>
    <row r="412" spans="1:11" x14ac:dyDescent="0.25">
      <c r="A412" t="s">
        <v>411</v>
      </c>
      <c r="B412" s="1">
        <v>45735</v>
      </c>
      <c r="C412">
        <f t="shared" si="8"/>
        <v>2025</v>
      </c>
      <c r="D412" t="str">
        <f t="shared" si="10"/>
        <v>March</v>
      </c>
      <c r="E412" t="str">
        <f t="shared" si="9"/>
        <v>Week3</v>
      </c>
      <c r="F412" t="s">
        <v>1035</v>
      </c>
      <c r="G412" t="s">
        <v>1197</v>
      </c>
      <c r="H412">
        <v>13000</v>
      </c>
      <c r="I412" t="s">
        <v>1027</v>
      </c>
      <c r="J412" t="s">
        <v>1030</v>
      </c>
      <c r="K412" t="s">
        <v>1031</v>
      </c>
    </row>
    <row r="413" spans="1:11" x14ac:dyDescent="0.25">
      <c r="A413" t="s">
        <v>412</v>
      </c>
      <c r="B413" s="1">
        <v>45733</v>
      </c>
      <c r="C413">
        <f t="shared" si="8"/>
        <v>2025</v>
      </c>
      <c r="D413" t="str">
        <f t="shared" si="10"/>
        <v>March</v>
      </c>
      <c r="E413" t="str">
        <f t="shared" si="9"/>
        <v>Week3</v>
      </c>
      <c r="F413" t="s">
        <v>1106</v>
      </c>
      <c r="G413" t="s">
        <v>1010</v>
      </c>
      <c r="H413">
        <v>10000</v>
      </c>
      <c r="I413" t="s">
        <v>1029</v>
      </c>
      <c r="J413" t="s">
        <v>1030</v>
      </c>
      <c r="K413" t="s">
        <v>1031</v>
      </c>
    </row>
    <row r="414" spans="1:11" x14ac:dyDescent="0.25">
      <c r="A414" t="s">
        <v>413</v>
      </c>
      <c r="B414" s="1">
        <v>45735</v>
      </c>
      <c r="C414">
        <f t="shared" si="8"/>
        <v>2025</v>
      </c>
      <c r="D414" t="str">
        <f t="shared" si="10"/>
        <v>March</v>
      </c>
      <c r="E414" t="str">
        <f t="shared" si="9"/>
        <v>Week3</v>
      </c>
      <c r="F414" t="s">
        <v>1120</v>
      </c>
      <c r="G414" t="s">
        <v>1014</v>
      </c>
      <c r="H414">
        <v>4500</v>
      </c>
      <c r="I414" t="s">
        <v>1029</v>
      </c>
      <c r="J414" t="s">
        <v>1030</v>
      </c>
      <c r="K414" t="s">
        <v>1031</v>
      </c>
    </row>
    <row r="415" spans="1:11" x14ac:dyDescent="0.25">
      <c r="A415" t="s">
        <v>414</v>
      </c>
      <c r="B415" s="1">
        <v>45740</v>
      </c>
      <c r="C415">
        <f t="shared" si="8"/>
        <v>2025</v>
      </c>
      <c r="D415" t="str">
        <f t="shared" si="10"/>
        <v>March</v>
      </c>
      <c r="E415" t="str">
        <f t="shared" si="9"/>
        <v>Week4</v>
      </c>
      <c r="F415" t="s">
        <v>1035</v>
      </c>
      <c r="G415" t="s">
        <v>1197</v>
      </c>
      <c r="H415">
        <v>13000</v>
      </c>
      <c r="I415" t="s">
        <v>1027</v>
      </c>
      <c r="J415" t="s">
        <v>1030</v>
      </c>
      <c r="K415" t="s">
        <v>1031</v>
      </c>
    </row>
    <row r="416" spans="1:11" x14ac:dyDescent="0.25">
      <c r="A416" t="s">
        <v>415</v>
      </c>
      <c r="B416" s="1">
        <v>45740</v>
      </c>
      <c r="C416">
        <f t="shared" si="8"/>
        <v>2025</v>
      </c>
      <c r="D416" t="str">
        <f t="shared" si="10"/>
        <v>March</v>
      </c>
      <c r="E416" t="str">
        <f t="shared" si="9"/>
        <v>Week4</v>
      </c>
      <c r="F416" t="s">
        <v>1023</v>
      </c>
      <c r="G416" t="s">
        <v>1201</v>
      </c>
      <c r="H416">
        <v>10000</v>
      </c>
      <c r="I416" t="s">
        <v>1029</v>
      </c>
      <c r="J416" t="s">
        <v>1030</v>
      </c>
      <c r="K416" t="s">
        <v>1031</v>
      </c>
    </row>
    <row r="417" spans="1:11" x14ac:dyDescent="0.25">
      <c r="A417" t="s">
        <v>416</v>
      </c>
      <c r="B417" s="1">
        <v>45741</v>
      </c>
      <c r="C417">
        <f t="shared" si="8"/>
        <v>2025</v>
      </c>
      <c r="D417" t="str">
        <f t="shared" si="10"/>
        <v>March</v>
      </c>
      <c r="E417" t="str">
        <f t="shared" si="9"/>
        <v>Week4</v>
      </c>
      <c r="F417" t="s">
        <v>1119</v>
      </c>
      <c r="G417" t="s">
        <v>1011</v>
      </c>
      <c r="H417">
        <v>20000</v>
      </c>
      <c r="I417" t="s">
        <v>1028</v>
      </c>
      <c r="J417" t="s">
        <v>1030</v>
      </c>
      <c r="K417" t="s">
        <v>1031</v>
      </c>
    </row>
    <row r="418" spans="1:11" x14ac:dyDescent="0.25">
      <c r="A418" t="s">
        <v>417</v>
      </c>
      <c r="B418" s="1">
        <v>45741</v>
      </c>
      <c r="C418">
        <f t="shared" si="8"/>
        <v>2025</v>
      </c>
      <c r="D418" t="str">
        <f t="shared" si="10"/>
        <v>March</v>
      </c>
      <c r="E418" t="str">
        <f t="shared" si="9"/>
        <v>Week4</v>
      </c>
      <c r="F418" t="s">
        <v>1141</v>
      </c>
      <c r="G418" t="s">
        <v>1198</v>
      </c>
      <c r="H418">
        <v>4000</v>
      </c>
      <c r="I418" t="s">
        <v>1027</v>
      </c>
      <c r="J418" t="s">
        <v>1030</v>
      </c>
      <c r="K418" t="s">
        <v>1031</v>
      </c>
    </row>
    <row r="419" spans="1:11" x14ac:dyDescent="0.25">
      <c r="A419" t="s">
        <v>418</v>
      </c>
      <c r="B419" s="1">
        <v>45742</v>
      </c>
      <c r="C419">
        <f t="shared" si="8"/>
        <v>2025</v>
      </c>
      <c r="D419" t="str">
        <f t="shared" si="10"/>
        <v>March</v>
      </c>
      <c r="E419" t="str">
        <f t="shared" si="9"/>
        <v>Week4</v>
      </c>
      <c r="F419" t="s">
        <v>1025</v>
      </c>
      <c r="G419" t="s">
        <v>1014</v>
      </c>
      <c r="H419">
        <v>5000</v>
      </c>
      <c r="I419" t="s">
        <v>1027</v>
      </c>
      <c r="J419" t="s">
        <v>1030</v>
      </c>
      <c r="K419" t="s">
        <v>1031</v>
      </c>
    </row>
    <row r="420" spans="1:11" x14ac:dyDescent="0.25">
      <c r="A420" t="s">
        <v>419</v>
      </c>
      <c r="B420" s="1">
        <v>45727</v>
      </c>
      <c r="C420">
        <f t="shared" si="8"/>
        <v>2025</v>
      </c>
      <c r="D420" t="str">
        <f t="shared" si="10"/>
        <v>March</v>
      </c>
      <c r="E420" t="str">
        <f t="shared" si="9"/>
        <v>Week2</v>
      </c>
      <c r="F420" t="s">
        <v>1025</v>
      </c>
      <c r="G420" t="s">
        <v>1014</v>
      </c>
      <c r="H420">
        <v>5000</v>
      </c>
      <c r="I420" t="s">
        <v>1027</v>
      </c>
      <c r="J420" t="s">
        <v>1030</v>
      </c>
      <c r="K420" t="s">
        <v>1031</v>
      </c>
    </row>
    <row r="421" spans="1:11" x14ac:dyDescent="0.25">
      <c r="A421" t="s">
        <v>420</v>
      </c>
      <c r="B421" s="1">
        <v>45743</v>
      </c>
      <c r="C421">
        <f t="shared" si="8"/>
        <v>2025</v>
      </c>
      <c r="D421" t="str">
        <f t="shared" si="10"/>
        <v>March</v>
      </c>
      <c r="E421" t="str">
        <f t="shared" si="9"/>
        <v>Week4</v>
      </c>
      <c r="F421" t="s">
        <v>1102</v>
      </c>
      <c r="G421" t="s">
        <v>1011</v>
      </c>
      <c r="H421">
        <v>25000</v>
      </c>
      <c r="I421" t="s">
        <v>1027</v>
      </c>
      <c r="J421" t="s">
        <v>1030</v>
      </c>
      <c r="K421" t="s">
        <v>1031</v>
      </c>
    </row>
    <row r="422" spans="1:11" x14ac:dyDescent="0.25">
      <c r="A422" t="s">
        <v>421</v>
      </c>
      <c r="B422" s="1">
        <v>45743</v>
      </c>
      <c r="C422">
        <f t="shared" si="8"/>
        <v>2025</v>
      </c>
      <c r="D422" t="str">
        <f t="shared" si="10"/>
        <v>March</v>
      </c>
      <c r="E422" t="str">
        <f t="shared" si="9"/>
        <v>Week4</v>
      </c>
      <c r="F422" t="s">
        <v>1102</v>
      </c>
      <c r="G422" t="s">
        <v>1011</v>
      </c>
      <c r="H422">
        <v>25000</v>
      </c>
      <c r="I422" t="s">
        <v>1027</v>
      </c>
      <c r="J422" t="s">
        <v>1030</v>
      </c>
      <c r="K422" t="s">
        <v>1031</v>
      </c>
    </row>
    <row r="423" spans="1:11" x14ac:dyDescent="0.25">
      <c r="A423" t="s">
        <v>422</v>
      </c>
      <c r="B423" s="1">
        <v>45749</v>
      </c>
      <c r="C423">
        <f t="shared" ref="C423:C677" si="11">YEAR(B423)</f>
        <v>2025</v>
      </c>
      <c r="D423" t="str">
        <f t="shared" si="10"/>
        <v>April</v>
      </c>
      <c r="E423" t="str">
        <f t="shared" si="9"/>
        <v>Week1</v>
      </c>
      <c r="F423" t="s">
        <v>1035</v>
      </c>
      <c r="G423" t="s">
        <v>1197</v>
      </c>
      <c r="H423">
        <v>13000</v>
      </c>
      <c r="I423" t="s">
        <v>1027</v>
      </c>
      <c r="J423" t="s">
        <v>1030</v>
      </c>
      <c r="K423" t="s">
        <v>1031</v>
      </c>
    </row>
    <row r="424" spans="1:11" x14ac:dyDescent="0.25">
      <c r="A424" t="s">
        <v>423</v>
      </c>
      <c r="B424" s="1">
        <v>45749</v>
      </c>
      <c r="C424">
        <f t="shared" si="11"/>
        <v>2025</v>
      </c>
      <c r="D424" t="str">
        <f t="shared" si="10"/>
        <v>April</v>
      </c>
      <c r="E424" t="str">
        <f t="shared" si="9"/>
        <v>Week1</v>
      </c>
      <c r="F424" t="s">
        <v>1119</v>
      </c>
      <c r="G424" t="s">
        <v>1011</v>
      </c>
      <c r="H424">
        <v>25000</v>
      </c>
      <c r="I424" t="s">
        <v>1027</v>
      </c>
      <c r="J424" t="s">
        <v>1030</v>
      </c>
      <c r="K424" t="s">
        <v>1031</v>
      </c>
    </row>
    <row r="425" spans="1:11" x14ac:dyDescent="0.25">
      <c r="A425" t="s">
        <v>424</v>
      </c>
      <c r="B425" s="1">
        <v>45749</v>
      </c>
      <c r="C425">
        <f t="shared" si="11"/>
        <v>2025</v>
      </c>
      <c r="D425" t="str">
        <f t="shared" si="10"/>
        <v>April</v>
      </c>
      <c r="E425" t="str">
        <f t="shared" si="9"/>
        <v>Week1</v>
      </c>
      <c r="F425" t="s">
        <v>1106</v>
      </c>
      <c r="G425" t="s">
        <v>1010</v>
      </c>
      <c r="H425">
        <v>7000</v>
      </c>
      <c r="I425" t="s">
        <v>1027</v>
      </c>
      <c r="J425" t="s">
        <v>1030</v>
      </c>
      <c r="K425" t="s">
        <v>1031</v>
      </c>
    </row>
    <row r="426" spans="1:11" x14ac:dyDescent="0.25">
      <c r="A426" t="s">
        <v>425</v>
      </c>
      <c r="B426" s="1">
        <v>45749</v>
      </c>
      <c r="C426">
        <f t="shared" si="11"/>
        <v>2025</v>
      </c>
      <c r="D426" t="str">
        <f t="shared" si="10"/>
        <v>April</v>
      </c>
      <c r="E426" t="str">
        <f t="shared" si="9"/>
        <v>Week1</v>
      </c>
      <c r="F426" t="s">
        <v>1049</v>
      </c>
      <c r="G426" t="s">
        <v>1199</v>
      </c>
      <c r="H426">
        <v>24000</v>
      </c>
      <c r="I426" t="s">
        <v>1027</v>
      </c>
      <c r="J426" t="s">
        <v>1030</v>
      </c>
      <c r="K426" t="s">
        <v>1031</v>
      </c>
    </row>
    <row r="427" spans="1:11" x14ac:dyDescent="0.25">
      <c r="A427" t="s">
        <v>426</v>
      </c>
      <c r="B427" s="1">
        <v>45749</v>
      </c>
      <c r="C427">
        <f t="shared" si="11"/>
        <v>2025</v>
      </c>
      <c r="D427" t="str">
        <f t="shared" si="10"/>
        <v>April</v>
      </c>
      <c r="E427" t="str">
        <f t="shared" si="9"/>
        <v>Week1</v>
      </c>
      <c r="F427" t="s">
        <v>1037</v>
      </c>
      <c r="G427" t="s">
        <v>1199</v>
      </c>
      <c r="H427">
        <v>24000</v>
      </c>
      <c r="I427" t="s">
        <v>1027</v>
      </c>
      <c r="J427" t="s">
        <v>1030</v>
      </c>
      <c r="K427" t="s">
        <v>1031</v>
      </c>
    </row>
    <row r="428" spans="1:11" x14ac:dyDescent="0.25">
      <c r="A428" t="s">
        <v>427</v>
      </c>
      <c r="B428" s="1">
        <v>45750</v>
      </c>
      <c r="C428">
        <f t="shared" si="11"/>
        <v>2025</v>
      </c>
      <c r="D428" t="str">
        <f t="shared" si="10"/>
        <v>April</v>
      </c>
      <c r="E428" t="str">
        <f t="shared" ref="E428:E682" si="12">"Week"&amp;ROUNDUP(DAY(B428)/7,0)</f>
        <v>Week1</v>
      </c>
      <c r="F428" t="s">
        <v>1041</v>
      </c>
      <c r="G428" t="s">
        <v>1010</v>
      </c>
      <c r="H428">
        <v>4000</v>
      </c>
      <c r="I428" t="s">
        <v>1029</v>
      </c>
      <c r="J428" t="s">
        <v>1030</v>
      </c>
      <c r="K428" t="s">
        <v>1031</v>
      </c>
    </row>
    <row r="429" spans="1:11" x14ac:dyDescent="0.25">
      <c r="A429" t="s">
        <v>428</v>
      </c>
      <c r="B429" s="1">
        <v>45750</v>
      </c>
      <c r="C429">
        <f t="shared" si="11"/>
        <v>2025</v>
      </c>
      <c r="D429" t="str">
        <f t="shared" si="10"/>
        <v>April</v>
      </c>
      <c r="E429" t="str">
        <f t="shared" si="12"/>
        <v>Week1</v>
      </c>
      <c r="F429" t="s">
        <v>1102</v>
      </c>
      <c r="G429" t="s">
        <v>1011</v>
      </c>
      <c r="H429">
        <v>22000</v>
      </c>
      <c r="I429" t="s">
        <v>1027</v>
      </c>
      <c r="J429" t="s">
        <v>1030</v>
      </c>
      <c r="K429" t="s">
        <v>1031</v>
      </c>
    </row>
    <row r="430" spans="1:11" x14ac:dyDescent="0.25">
      <c r="A430" t="s">
        <v>429</v>
      </c>
      <c r="B430" s="1">
        <v>45751</v>
      </c>
      <c r="C430">
        <f t="shared" si="11"/>
        <v>2025</v>
      </c>
      <c r="D430" t="str">
        <f t="shared" si="10"/>
        <v>April</v>
      </c>
      <c r="E430" t="str">
        <f t="shared" si="12"/>
        <v>Week1</v>
      </c>
      <c r="F430" t="s">
        <v>1119</v>
      </c>
      <c r="G430" t="s">
        <v>1011</v>
      </c>
      <c r="H430">
        <v>15000</v>
      </c>
      <c r="I430" t="s">
        <v>1027</v>
      </c>
      <c r="J430" t="s">
        <v>1030</v>
      </c>
      <c r="K430" t="s">
        <v>1031</v>
      </c>
    </row>
    <row r="431" spans="1:11" x14ac:dyDescent="0.25">
      <c r="A431" t="s">
        <v>430</v>
      </c>
      <c r="B431" s="1">
        <v>45751</v>
      </c>
      <c r="C431">
        <f t="shared" si="11"/>
        <v>2025</v>
      </c>
      <c r="D431" t="str">
        <f t="shared" si="10"/>
        <v>April</v>
      </c>
      <c r="E431" t="str">
        <f t="shared" si="12"/>
        <v>Week1</v>
      </c>
      <c r="F431" t="s">
        <v>1142</v>
      </c>
      <c r="G431" t="s">
        <v>1015</v>
      </c>
      <c r="H431">
        <v>6000</v>
      </c>
      <c r="I431" t="s">
        <v>1027</v>
      </c>
      <c r="J431" t="s">
        <v>1030</v>
      </c>
      <c r="K431" t="s">
        <v>1031</v>
      </c>
    </row>
    <row r="432" spans="1:11" x14ac:dyDescent="0.25">
      <c r="A432" t="s">
        <v>431</v>
      </c>
      <c r="B432" s="1">
        <v>45752</v>
      </c>
      <c r="C432">
        <f t="shared" si="11"/>
        <v>2025</v>
      </c>
      <c r="D432" t="str">
        <f t="shared" si="10"/>
        <v>April</v>
      </c>
      <c r="E432" t="str">
        <f t="shared" si="12"/>
        <v>Week1</v>
      </c>
      <c r="F432" t="s">
        <v>1018</v>
      </c>
      <c r="G432" t="s">
        <v>1013</v>
      </c>
      <c r="H432">
        <v>4000</v>
      </c>
      <c r="I432" t="s">
        <v>1027</v>
      </c>
      <c r="J432" t="s">
        <v>1030</v>
      </c>
      <c r="K432" t="s">
        <v>1031</v>
      </c>
    </row>
    <row r="433" spans="1:11" x14ac:dyDescent="0.25">
      <c r="A433" t="s">
        <v>432</v>
      </c>
      <c r="B433" s="1">
        <v>45754</v>
      </c>
      <c r="C433">
        <f t="shared" si="11"/>
        <v>2025</v>
      </c>
      <c r="D433" t="str">
        <f t="shared" si="10"/>
        <v>April</v>
      </c>
      <c r="E433" t="str">
        <f t="shared" si="12"/>
        <v>Week1</v>
      </c>
      <c r="F433" t="s">
        <v>1033</v>
      </c>
      <c r="G433" t="s">
        <v>1014</v>
      </c>
      <c r="H433">
        <v>104600</v>
      </c>
      <c r="I433" t="s">
        <v>1027</v>
      </c>
      <c r="J433" t="s">
        <v>1030</v>
      </c>
      <c r="K433" t="s">
        <v>1031</v>
      </c>
    </row>
    <row r="434" spans="1:11" x14ac:dyDescent="0.25">
      <c r="A434" t="s">
        <v>433</v>
      </c>
      <c r="B434" s="1">
        <v>45754</v>
      </c>
      <c r="C434">
        <f t="shared" si="11"/>
        <v>2025</v>
      </c>
      <c r="D434" t="str">
        <f t="shared" si="10"/>
        <v>April</v>
      </c>
      <c r="E434" t="str">
        <f t="shared" si="12"/>
        <v>Week1</v>
      </c>
      <c r="F434" t="s">
        <v>1035</v>
      </c>
      <c r="G434" t="s">
        <v>1197</v>
      </c>
      <c r="H434">
        <v>13000</v>
      </c>
      <c r="I434" t="s">
        <v>1027</v>
      </c>
      <c r="J434" t="s">
        <v>1030</v>
      </c>
      <c r="K434" t="s">
        <v>1031</v>
      </c>
    </row>
    <row r="435" spans="1:11" x14ac:dyDescent="0.25">
      <c r="A435" t="s">
        <v>434</v>
      </c>
      <c r="B435" s="1">
        <v>45755</v>
      </c>
      <c r="C435">
        <f t="shared" si="11"/>
        <v>2025</v>
      </c>
      <c r="D435" t="str">
        <f t="shared" si="10"/>
        <v>April</v>
      </c>
      <c r="E435" t="str">
        <f t="shared" si="12"/>
        <v>Week2</v>
      </c>
      <c r="F435" t="s">
        <v>1025</v>
      </c>
      <c r="G435" t="s">
        <v>1014</v>
      </c>
      <c r="H435">
        <v>5000</v>
      </c>
      <c r="I435" t="s">
        <v>1027</v>
      </c>
      <c r="J435" t="s">
        <v>1030</v>
      </c>
      <c r="K435" t="s">
        <v>1031</v>
      </c>
    </row>
    <row r="436" spans="1:11" x14ac:dyDescent="0.25">
      <c r="A436" t="s">
        <v>435</v>
      </c>
      <c r="B436" s="1">
        <v>45757</v>
      </c>
      <c r="C436">
        <f t="shared" si="11"/>
        <v>2025</v>
      </c>
      <c r="D436" t="str">
        <f t="shared" si="10"/>
        <v>April</v>
      </c>
      <c r="E436" t="str">
        <f t="shared" si="12"/>
        <v>Week2</v>
      </c>
      <c r="F436" t="s">
        <v>1119</v>
      </c>
      <c r="G436" t="s">
        <v>1011</v>
      </c>
      <c r="H436">
        <v>25000</v>
      </c>
      <c r="I436" t="s">
        <v>1027</v>
      </c>
      <c r="J436" t="s">
        <v>1030</v>
      </c>
      <c r="K436" t="s">
        <v>1031</v>
      </c>
    </row>
    <row r="437" spans="1:11" x14ac:dyDescent="0.25">
      <c r="A437" t="s">
        <v>436</v>
      </c>
      <c r="B437" s="1">
        <v>45757</v>
      </c>
      <c r="C437">
        <f t="shared" si="11"/>
        <v>2025</v>
      </c>
      <c r="D437" t="str">
        <f t="shared" si="10"/>
        <v>April</v>
      </c>
      <c r="E437" t="str">
        <f t="shared" si="12"/>
        <v>Week2</v>
      </c>
      <c r="F437" t="s">
        <v>1102</v>
      </c>
      <c r="G437" t="s">
        <v>1011</v>
      </c>
      <c r="H437">
        <v>25000</v>
      </c>
      <c r="I437" t="s">
        <v>1027</v>
      </c>
      <c r="J437" t="s">
        <v>1030</v>
      </c>
      <c r="K437" t="s">
        <v>1031</v>
      </c>
    </row>
    <row r="438" spans="1:11" x14ac:dyDescent="0.25">
      <c r="A438" t="s">
        <v>437</v>
      </c>
      <c r="B438" s="1">
        <v>45757</v>
      </c>
      <c r="C438">
        <f t="shared" si="11"/>
        <v>2025</v>
      </c>
      <c r="D438" t="str">
        <f t="shared" si="10"/>
        <v>April</v>
      </c>
      <c r="E438" t="str">
        <f t="shared" si="12"/>
        <v>Week2</v>
      </c>
      <c r="F438" t="s">
        <v>1040</v>
      </c>
      <c r="G438" t="s">
        <v>1199</v>
      </c>
      <c r="H438">
        <v>24000</v>
      </c>
      <c r="I438" t="s">
        <v>1027</v>
      </c>
      <c r="J438" t="s">
        <v>1030</v>
      </c>
      <c r="K438" t="s">
        <v>1031</v>
      </c>
    </row>
    <row r="439" spans="1:11" x14ac:dyDescent="0.25">
      <c r="A439" t="s">
        <v>438</v>
      </c>
      <c r="B439" s="1">
        <v>45754</v>
      </c>
      <c r="C439">
        <f t="shared" si="11"/>
        <v>2025</v>
      </c>
      <c r="D439" t="str">
        <f t="shared" si="10"/>
        <v>April</v>
      </c>
      <c r="E439" t="str">
        <f t="shared" si="12"/>
        <v>Week1</v>
      </c>
      <c r="F439" t="s">
        <v>1120</v>
      </c>
      <c r="G439" t="s">
        <v>1014</v>
      </c>
      <c r="H439">
        <v>4800</v>
      </c>
      <c r="I439" t="s">
        <v>1027</v>
      </c>
      <c r="J439" t="s">
        <v>1030</v>
      </c>
      <c r="K439" t="s">
        <v>1031</v>
      </c>
    </row>
    <row r="440" spans="1:11" x14ac:dyDescent="0.25">
      <c r="A440" t="s">
        <v>439</v>
      </c>
      <c r="B440" s="1">
        <v>45757</v>
      </c>
      <c r="C440">
        <f t="shared" si="11"/>
        <v>2025</v>
      </c>
      <c r="D440" t="str">
        <f t="shared" si="10"/>
        <v>April</v>
      </c>
      <c r="E440" t="str">
        <f t="shared" si="12"/>
        <v>Week2</v>
      </c>
      <c r="F440" t="s">
        <v>1102</v>
      </c>
      <c r="G440" t="s">
        <v>1011</v>
      </c>
      <c r="H440">
        <v>22000</v>
      </c>
      <c r="I440" t="s">
        <v>1027</v>
      </c>
      <c r="J440" t="s">
        <v>1030</v>
      </c>
      <c r="K440" t="s">
        <v>1031</v>
      </c>
    </row>
    <row r="441" spans="1:11" x14ac:dyDescent="0.25">
      <c r="A441" t="s">
        <v>440</v>
      </c>
      <c r="B441" s="1">
        <v>45761</v>
      </c>
      <c r="C441">
        <f t="shared" si="11"/>
        <v>2025</v>
      </c>
      <c r="D441" t="str">
        <f t="shared" si="10"/>
        <v>April</v>
      </c>
      <c r="E441" t="str">
        <f t="shared" si="12"/>
        <v>Week2</v>
      </c>
      <c r="F441" t="s">
        <v>1035</v>
      </c>
      <c r="G441" t="s">
        <v>1197</v>
      </c>
      <c r="H441">
        <v>13000</v>
      </c>
      <c r="I441" t="s">
        <v>1027</v>
      </c>
      <c r="J441" t="s">
        <v>1030</v>
      </c>
      <c r="K441" t="s">
        <v>1031</v>
      </c>
    </row>
    <row r="442" spans="1:11" x14ac:dyDescent="0.25">
      <c r="A442" t="s">
        <v>441</v>
      </c>
      <c r="B442" s="1">
        <v>45771</v>
      </c>
      <c r="C442">
        <f t="shared" si="11"/>
        <v>2025</v>
      </c>
      <c r="D442" t="str">
        <f t="shared" si="10"/>
        <v>April</v>
      </c>
      <c r="E442" t="str">
        <f t="shared" si="12"/>
        <v>Week4</v>
      </c>
      <c r="F442" t="s">
        <v>1102</v>
      </c>
      <c r="G442" t="s">
        <v>1011</v>
      </c>
      <c r="H442">
        <v>25000</v>
      </c>
      <c r="I442" t="s">
        <v>1027</v>
      </c>
      <c r="J442" t="s">
        <v>1030</v>
      </c>
      <c r="K442" t="s">
        <v>1031</v>
      </c>
    </row>
    <row r="443" spans="1:11" x14ac:dyDescent="0.25">
      <c r="A443" t="s">
        <v>442</v>
      </c>
      <c r="B443" s="1">
        <v>45762</v>
      </c>
      <c r="C443">
        <f t="shared" si="11"/>
        <v>2025</v>
      </c>
      <c r="D443" t="str">
        <f t="shared" si="10"/>
        <v>April</v>
      </c>
      <c r="E443" t="str">
        <f t="shared" si="12"/>
        <v>Week3</v>
      </c>
      <c r="F443" t="s">
        <v>1143</v>
      </c>
      <c r="G443" t="s">
        <v>1198</v>
      </c>
      <c r="H443">
        <v>4000</v>
      </c>
      <c r="I443" t="s">
        <v>1029</v>
      </c>
      <c r="J443" t="s">
        <v>1030</v>
      </c>
      <c r="K443" t="s">
        <v>1031</v>
      </c>
    </row>
    <row r="444" spans="1:11" x14ac:dyDescent="0.25">
      <c r="A444" t="s">
        <v>443</v>
      </c>
      <c r="B444" s="1">
        <v>45763</v>
      </c>
      <c r="C444">
        <f t="shared" si="11"/>
        <v>2025</v>
      </c>
      <c r="D444" t="str">
        <f t="shared" si="10"/>
        <v>April</v>
      </c>
      <c r="E444" t="str">
        <f t="shared" si="12"/>
        <v>Week3</v>
      </c>
      <c r="F444" t="s">
        <v>1119</v>
      </c>
      <c r="G444" t="s">
        <v>1011</v>
      </c>
      <c r="H444">
        <v>25000</v>
      </c>
      <c r="I444" t="s">
        <v>1027</v>
      </c>
      <c r="J444" t="s">
        <v>1030</v>
      </c>
      <c r="K444" t="s">
        <v>1031</v>
      </c>
    </row>
    <row r="445" spans="1:11" x14ac:dyDescent="0.25">
      <c r="A445" t="s">
        <v>444</v>
      </c>
      <c r="B445" s="1">
        <v>45763</v>
      </c>
      <c r="C445">
        <f t="shared" si="11"/>
        <v>2025</v>
      </c>
      <c r="D445" t="str">
        <f t="shared" si="10"/>
        <v>April</v>
      </c>
      <c r="E445" t="str">
        <f t="shared" si="12"/>
        <v>Week3</v>
      </c>
      <c r="F445" t="s">
        <v>1021</v>
      </c>
      <c r="G445" t="s">
        <v>1010</v>
      </c>
      <c r="H445">
        <v>5000</v>
      </c>
      <c r="I445" t="s">
        <v>1028</v>
      </c>
      <c r="J445" t="s">
        <v>1030</v>
      </c>
      <c r="K445" t="s">
        <v>1031</v>
      </c>
    </row>
    <row r="446" spans="1:11" x14ac:dyDescent="0.25">
      <c r="A446" t="s">
        <v>445</v>
      </c>
      <c r="B446" s="1">
        <v>45765</v>
      </c>
      <c r="C446">
        <f t="shared" si="11"/>
        <v>2025</v>
      </c>
      <c r="D446" t="str">
        <f t="shared" si="10"/>
        <v>April</v>
      </c>
      <c r="E446" t="str">
        <f t="shared" si="12"/>
        <v>Week3</v>
      </c>
      <c r="F446" t="s">
        <v>1102</v>
      </c>
      <c r="G446" t="s">
        <v>1011</v>
      </c>
      <c r="H446">
        <v>25000</v>
      </c>
      <c r="I446" t="s">
        <v>1027</v>
      </c>
      <c r="J446" t="s">
        <v>1030</v>
      </c>
      <c r="K446" t="s">
        <v>1031</v>
      </c>
    </row>
    <row r="447" spans="1:11" x14ac:dyDescent="0.25">
      <c r="A447" t="s">
        <v>446</v>
      </c>
      <c r="B447" s="1">
        <v>45764</v>
      </c>
      <c r="C447">
        <f t="shared" si="11"/>
        <v>2025</v>
      </c>
      <c r="D447" t="str">
        <f t="shared" si="10"/>
        <v>April</v>
      </c>
      <c r="E447" t="str">
        <f t="shared" si="12"/>
        <v>Week3</v>
      </c>
      <c r="F447" t="s">
        <v>1102</v>
      </c>
      <c r="G447" t="s">
        <v>1011</v>
      </c>
      <c r="H447">
        <v>25000</v>
      </c>
      <c r="I447" t="s">
        <v>1027</v>
      </c>
      <c r="J447" t="s">
        <v>1030</v>
      </c>
      <c r="K447" t="s">
        <v>1031</v>
      </c>
    </row>
    <row r="448" spans="1:11" x14ac:dyDescent="0.25">
      <c r="A448" t="s">
        <v>447</v>
      </c>
      <c r="B448" s="1">
        <v>45768</v>
      </c>
      <c r="C448">
        <f t="shared" si="11"/>
        <v>2025</v>
      </c>
      <c r="D448" t="str">
        <f t="shared" si="10"/>
        <v>April</v>
      </c>
      <c r="E448" t="str">
        <f t="shared" si="12"/>
        <v>Week3</v>
      </c>
      <c r="F448" t="s">
        <v>1102</v>
      </c>
      <c r="G448" t="s">
        <v>1011</v>
      </c>
      <c r="H448">
        <v>25000</v>
      </c>
      <c r="I448" t="s">
        <v>1028</v>
      </c>
      <c r="J448" t="s">
        <v>1030</v>
      </c>
      <c r="K448" t="s">
        <v>1031</v>
      </c>
    </row>
    <row r="449" spans="1:11" x14ac:dyDescent="0.25">
      <c r="A449" t="s">
        <v>448</v>
      </c>
      <c r="B449" s="1">
        <v>45769</v>
      </c>
      <c r="C449">
        <f t="shared" si="11"/>
        <v>2025</v>
      </c>
      <c r="D449" t="str">
        <f t="shared" si="10"/>
        <v>April</v>
      </c>
      <c r="E449" t="str">
        <f t="shared" si="12"/>
        <v>Week4</v>
      </c>
      <c r="F449" t="s">
        <v>1018</v>
      </c>
      <c r="G449" t="s">
        <v>1013</v>
      </c>
      <c r="H449">
        <v>2000</v>
      </c>
      <c r="I449" t="s">
        <v>1027</v>
      </c>
      <c r="J449" t="s">
        <v>1030</v>
      </c>
      <c r="K449" t="s">
        <v>1031</v>
      </c>
    </row>
    <row r="450" spans="1:11" x14ac:dyDescent="0.25">
      <c r="A450" t="s">
        <v>449</v>
      </c>
      <c r="B450" s="1">
        <v>45771</v>
      </c>
      <c r="C450">
        <f t="shared" si="11"/>
        <v>2025</v>
      </c>
      <c r="D450" t="str">
        <f t="shared" si="10"/>
        <v>April</v>
      </c>
      <c r="E450" t="str">
        <f t="shared" si="12"/>
        <v>Week4</v>
      </c>
      <c r="F450" t="s">
        <v>1132</v>
      </c>
      <c r="G450" t="s">
        <v>1012</v>
      </c>
      <c r="H450">
        <v>9900</v>
      </c>
      <c r="I450" t="s">
        <v>1027</v>
      </c>
      <c r="J450" t="s">
        <v>1030</v>
      </c>
      <c r="K450" t="s">
        <v>1031</v>
      </c>
    </row>
    <row r="451" spans="1:11" x14ac:dyDescent="0.25">
      <c r="A451" t="s">
        <v>450</v>
      </c>
      <c r="B451" s="1">
        <v>45771</v>
      </c>
      <c r="C451">
        <f t="shared" si="11"/>
        <v>2025</v>
      </c>
      <c r="D451" t="str">
        <f t="shared" si="10"/>
        <v>April</v>
      </c>
      <c r="E451" t="str">
        <f t="shared" si="12"/>
        <v>Week4</v>
      </c>
      <c r="F451" t="s">
        <v>1144</v>
      </c>
      <c r="G451" t="s">
        <v>1198</v>
      </c>
      <c r="H451">
        <v>42000</v>
      </c>
      <c r="I451" t="s">
        <v>1028</v>
      </c>
      <c r="J451" t="s">
        <v>1030</v>
      </c>
      <c r="K451" t="s">
        <v>1031</v>
      </c>
    </row>
    <row r="452" spans="1:11" x14ac:dyDescent="0.25">
      <c r="A452" t="s">
        <v>451</v>
      </c>
      <c r="B452" s="1">
        <v>45410</v>
      </c>
      <c r="C452">
        <f t="shared" si="11"/>
        <v>2024</v>
      </c>
      <c r="D452" t="str">
        <f t="shared" si="10"/>
        <v>April</v>
      </c>
      <c r="E452" t="str">
        <f t="shared" si="12"/>
        <v>Week4</v>
      </c>
      <c r="F452" t="s">
        <v>1035</v>
      </c>
      <c r="G452" t="s">
        <v>1197</v>
      </c>
      <c r="H452">
        <v>13000</v>
      </c>
      <c r="I452" t="s">
        <v>1027</v>
      </c>
      <c r="J452" t="s">
        <v>1030</v>
      </c>
      <c r="K452" t="s">
        <v>1031</v>
      </c>
    </row>
    <row r="453" spans="1:11" x14ac:dyDescent="0.25">
      <c r="A453" t="s">
        <v>452</v>
      </c>
      <c r="B453" s="1">
        <v>45769</v>
      </c>
      <c r="C453">
        <f t="shared" si="11"/>
        <v>2025</v>
      </c>
      <c r="D453" t="str">
        <f t="shared" si="10"/>
        <v>April</v>
      </c>
      <c r="E453" t="str">
        <f t="shared" si="12"/>
        <v>Week4</v>
      </c>
      <c r="F453" t="s">
        <v>1035</v>
      </c>
      <c r="G453" t="s">
        <v>1197</v>
      </c>
      <c r="H453">
        <v>13000</v>
      </c>
      <c r="I453" t="s">
        <v>1027</v>
      </c>
      <c r="J453" t="s">
        <v>1030</v>
      </c>
      <c r="K453" t="s">
        <v>1031</v>
      </c>
    </row>
    <row r="454" spans="1:11" x14ac:dyDescent="0.25">
      <c r="A454" t="s">
        <v>453</v>
      </c>
      <c r="B454" s="1">
        <v>45775</v>
      </c>
      <c r="C454">
        <f t="shared" si="11"/>
        <v>2025</v>
      </c>
      <c r="D454" t="str">
        <f t="shared" si="10"/>
        <v>April</v>
      </c>
      <c r="E454" t="str">
        <f t="shared" si="12"/>
        <v>Week4</v>
      </c>
      <c r="F454" t="s">
        <v>1120</v>
      </c>
      <c r="G454" t="s">
        <v>1014</v>
      </c>
      <c r="H454">
        <v>4500</v>
      </c>
      <c r="I454" t="s">
        <v>1027</v>
      </c>
      <c r="J454" t="s">
        <v>1030</v>
      </c>
      <c r="K454" t="s">
        <v>1031</v>
      </c>
    </row>
    <row r="455" spans="1:11" x14ac:dyDescent="0.25">
      <c r="A455" t="s">
        <v>454</v>
      </c>
      <c r="B455" s="1">
        <v>45775</v>
      </c>
      <c r="C455">
        <f t="shared" si="11"/>
        <v>2025</v>
      </c>
      <c r="D455" t="str">
        <f t="shared" si="10"/>
        <v>April</v>
      </c>
      <c r="E455" t="str">
        <f t="shared" si="12"/>
        <v>Week4</v>
      </c>
      <c r="F455" t="s">
        <v>1102</v>
      </c>
      <c r="G455" t="s">
        <v>1011</v>
      </c>
      <c r="H455">
        <v>27000</v>
      </c>
      <c r="I455" t="s">
        <v>1027</v>
      </c>
      <c r="J455" t="s">
        <v>1030</v>
      </c>
      <c r="K455" t="s">
        <v>1031</v>
      </c>
    </row>
    <row r="456" spans="1:11" x14ac:dyDescent="0.25">
      <c r="A456" t="s">
        <v>455</v>
      </c>
      <c r="B456" s="1">
        <v>45776</v>
      </c>
      <c r="C456">
        <f t="shared" si="11"/>
        <v>2025</v>
      </c>
      <c r="D456" t="str">
        <f t="shared" si="10"/>
        <v>April</v>
      </c>
      <c r="E456" t="str">
        <f t="shared" si="12"/>
        <v>Week5</v>
      </c>
      <c r="F456" t="s">
        <v>1100</v>
      </c>
      <c r="G456" t="s">
        <v>1010</v>
      </c>
      <c r="H456">
        <v>6000</v>
      </c>
      <c r="I456" t="s">
        <v>1027</v>
      </c>
      <c r="J456" t="s">
        <v>1030</v>
      </c>
      <c r="K456" t="s">
        <v>1031</v>
      </c>
    </row>
    <row r="457" spans="1:11" x14ac:dyDescent="0.25">
      <c r="A457" t="s">
        <v>456</v>
      </c>
      <c r="B457" s="1">
        <v>45776</v>
      </c>
      <c r="C457">
        <f t="shared" si="11"/>
        <v>2025</v>
      </c>
      <c r="D457" t="str">
        <f t="shared" si="10"/>
        <v>April</v>
      </c>
      <c r="E457" t="str">
        <f t="shared" si="12"/>
        <v>Week5</v>
      </c>
      <c r="F457" t="s">
        <v>1023</v>
      </c>
      <c r="G457" t="s">
        <v>1201</v>
      </c>
      <c r="H457">
        <v>10000</v>
      </c>
      <c r="I457" t="s">
        <v>1029</v>
      </c>
      <c r="J457" t="s">
        <v>1030</v>
      </c>
      <c r="K457" t="s">
        <v>1031</v>
      </c>
    </row>
    <row r="458" spans="1:11" x14ac:dyDescent="0.25">
      <c r="A458" t="s">
        <v>457</v>
      </c>
      <c r="B458" s="1">
        <v>45776</v>
      </c>
      <c r="C458">
        <f t="shared" si="11"/>
        <v>2025</v>
      </c>
      <c r="D458" t="str">
        <f t="shared" si="10"/>
        <v>April</v>
      </c>
      <c r="E458" t="str">
        <f t="shared" si="12"/>
        <v>Week5</v>
      </c>
      <c r="F458" t="s">
        <v>1045</v>
      </c>
      <c r="G458" t="s">
        <v>1197</v>
      </c>
      <c r="H458">
        <v>40000</v>
      </c>
      <c r="I458" t="s">
        <v>1028</v>
      </c>
      <c r="J458" t="s">
        <v>1030</v>
      </c>
      <c r="K458" t="s">
        <v>1031</v>
      </c>
    </row>
    <row r="459" spans="1:11" x14ac:dyDescent="0.25">
      <c r="A459" t="s">
        <v>458</v>
      </c>
      <c r="B459" s="1">
        <v>45777</v>
      </c>
      <c r="C459">
        <f t="shared" si="11"/>
        <v>2025</v>
      </c>
      <c r="D459" t="str">
        <f t="shared" si="10"/>
        <v>April</v>
      </c>
      <c r="E459" t="str">
        <f t="shared" si="12"/>
        <v>Week5</v>
      </c>
      <c r="F459" t="s">
        <v>1102</v>
      </c>
      <c r="G459" t="s">
        <v>1011</v>
      </c>
      <c r="H459">
        <v>22000</v>
      </c>
      <c r="I459" t="s">
        <v>1027</v>
      </c>
      <c r="J459" t="s">
        <v>1030</v>
      </c>
      <c r="K459" t="s">
        <v>1031</v>
      </c>
    </row>
    <row r="460" spans="1:11" x14ac:dyDescent="0.25">
      <c r="A460" t="s">
        <v>459</v>
      </c>
      <c r="B460" s="1">
        <v>45762</v>
      </c>
      <c r="C460">
        <f t="shared" si="11"/>
        <v>2025</v>
      </c>
      <c r="D460" t="str">
        <f t="shared" si="10"/>
        <v>April</v>
      </c>
      <c r="E460" t="str">
        <f t="shared" si="12"/>
        <v>Week3</v>
      </c>
      <c r="F460" t="s">
        <v>1145</v>
      </c>
      <c r="G460" t="s">
        <v>1010</v>
      </c>
      <c r="H460">
        <v>12000</v>
      </c>
      <c r="I460" t="s">
        <v>1029</v>
      </c>
      <c r="J460" t="s">
        <v>1030</v>
      </c>
      <c r="K460" t="s">
        <v>1031</v>
      </c>
    </row>
    <row r="461" spans="1:11" x14ac:dyDescent="0.25">
      <c r="A461" t="s">
        <v>460</v>
      </c>
      <c r="B461" s="1">
        <v>45777</v>
      </c>
      <c r="C461">
        <f t="shared" si="11"/>
        <v>2025</v>
      </c>
      <c r="D461" t="str">
        <f t="shared" si="10"/>
        <v>April</v>
      </c>
      <c r="E461" t="str">
        <f t="shared" si="12"/>
        <v>Week5</v>
      </c>
      <c r="F461" t="s">
        <v>1025</v>
      </c>
      <c r="G461" t="s">
        <v>1014</v>
      </c>
      <c r="H461">
        <v>5000</v>
      </c>
      <c r="I461" t="s">
        <v>1027</v>
      </c>
      <c r="J461" t="s">
        <v>1030</v>
      </c>
      <c r="K461" t="s">
        <v>1031</v>
      </c>
    </row>
    <row r="462" spans="1:11" x14ac:dyDescent="0.25">
      <c r="A462" t="s">
        <v>461</v>
      </c>
      <c r="B462" s="1">
        <v>45778</v>
      </c>
      <c r="C462">
        <f t="shared" si="11"/>
        <v>2025</v>
      </c>
      <c r="D462" t="str">
        <f t="shared" si="10"/>
        <v>May</v>
      </c>
      <c r="E462" t="str">
        <f t="shared" si="12"/>
        <v>Week1</v>
      </c>
      <c r="F462" t="s">
        <v>1102</v>
      </c>
      <c r="G462" t="s">
        <v>1011</v>
      </c>
      <c r="H462">
        <v>25000</v>
      </c>
      <c r="I462" t="s">
        <v>1028</v>
      </c>
      <c r="J462" t="s">
        <v>1030</v>
      </c>
      <c r="K462" t="s">
        <v>1031</v>
      </c>
    </row>
    <row r="463" spans="1:11" x14ac:dyDescent="0.25">
      <c r="A463" t="s">
        <v>462</v>
      </c>
      <c r="B463" s="1">
        <v>45779</v>
      </c>
      <c r="C463">
        <f t="shared" si="11"/>
        <v>2025</v>
      </c>
      <c r="D463" t="str">
        <f t="shared" si="10"/>
        <v>May</v>
      </c>
      <c r="E463" t="str">
        <f t="shared" si="12"/>
        <v>Week1</v>
      </c>
      <c r="F463" t="s">
        <v>1018</v>
      </c>
      <c r="G463" t="s">
        <v>1013</v>
      </c>
      <c r="H463">
        <v>4000</v>
      </c>
      <c r="I463" t="s">
        <v>1027</v>
      </c>
      <c r="J463" t="s">
        <v>1030</v>
      </c>
      <c r="K463" t="s">
        <v>1031</v>
      </c>
    </row>
    <row r="464" spans="1:11" x14ac:dyDescent="0.25">
      <c r="A464" t="s">
        <v>463</v>
      </c>
      <c r="B464" s="1">
        <v>45782</v>
      </c>
      <c r="C464">
        <f t="shared" si="11"/>
        <v>2025</v>
      </c>
      <c r="D464" t="str">
        <f t="shared" si="10"/>
        <v>May</v>
      </c>
      <c r="E464" t="str">
        <f t="shared" si="12"/>
        <v>Week1</v>
      </c>
      <c r="F464" t="s">
        <v>1035</v>
      </c>
      <c r="G464" t="s">
        <v>1197</v>
      </c>
      <c r="H464">
        <v>13000</v>
      </c>
      <c r="I464" t="s">
        <v>1029</v>
      </c>
      <c r="J464" t="s">
        <v>1030</v>
      </c>
      <c r="K464" t="s">
        <v>1031</v>
      </c>
    </row>
    <row r="465" spans="1:11" x14ac:dyDescent="0.25">
      <c r="A465" t="s">
        <v>464</v>
      </c>
      <c r="B465" s="1">
        <v>45782</v>
      </c>
      <c r="C465">
        <f t="shared" si="11"/>
        <v>2025</v>
      </c>
      <c r="D465" t="str">
        <f t="shared" si="10"/>
        <v>May</v>
      </c>
      <c r="E465" t="str">
        <f t="shared" si="12"/>
        <v>Week1</v>
      </c>
      <c r="F465" t="s">
        <v>1102</v>
      </c>
      <c r="G465" t="s">
        <v>1011</v>
      </c>
      <c r="H465">
        <v>25000</v>
      </c>
      <c r="I465" t="s">
        <v>1028</v>
      </c>
      <c r="J465" t="s">
        <v>1030</v>
      </c>
      <c r="K465" t="s">
        <v>1031</v>
      </c>
    </row>
    <row r="466" spans="1:11" x14ac:dyDescent="0.25">
      <c r="A466" t="s">
        <v>465</v>
      </c>
      <c r="B466" s="1">
        <v>45782</v>
      </c>
      <c r="C466">
        <f t="shared" si="11"/>
        <v>2025</v>
      </c>
      <c r="D466" t="str">
        <f t="shared" si="10"/>
        <v>May</v>
      </c>
      <c r="E466" t="str">
        <f t="shared" si="12"/>
        <v>Week1</v>
      </c>
      <c r="F466" t="s">
        <v>1119</v>
      </c>
      <c r="G466" t="s">
        <v>1011</v>
      </c>
      <c r="H466">
        <v>20000</v>
      </c>
      <c r="I466" t="s">
        <v>1027</v>
      </c>
      <c r="J466" t="s">
        <v>1030</v>
      </c>
      <c r="K466" t="s">
        <v>1031</v>
      </c>
    </row>
    <row r="467" spans="1:11" x14ac:dyDescent="0.25">
      <c r="A467" t="s">
        <v>466</v>
      </c>
      <c r="B467" s="1">
        <v>45783</v>
      </c>
      <c r="C467">
        <f t="shared" si="11"/>
        <v>2025</v>
      </c>
      <c r="D467" t="str">
        <f t="shared" si="10"/>
        <v>May</v>
      </c>
      <c r="E467" t="str">
        <f t="shared" si="12"/>
        <v>Week1</v>
      </c>
      <c r="F467" t="s">
        <v>1018</v>
      </c>
      <c r="G467" t="s">
        <v>1013</v>
      </c>
      <c r="H467">
        <v>6000</v>
      </c>
      <c r="I467" t="s">
        <v>1027</v>
      </c>
      <c r="J467" t="s">
        <v>1030</v>
      </c>
      <c r="K467" t="s">
        <v>1031</v>
      </c>
    </row>
    <row r="468" spans="1:11" x14ac:dyDescent="0.25">
      <c r="A468" t="s">
        <v>467</v>
      </c>
      <c r="B468" s="1">
        <v>45783</v>
      </c>
      <c r="C468">
        <f t="shared" si="11"/>
        <v>2025</v>
      </c>
      <c r="D468" t="str">
        <f t="shared" si="10"/>
        <v>May</v>
      </c>
      <c r="E468" t="str">
        <f t="shared" si="12"/>
        <v>Week1</v>
      </c>
      <c r="F468" t="s">
        <v>1033</v>
      </c>
      <c r="G468" t="s">
        <v>1014</v>
      </c>
      <c r="H468">
        <v>116300</v>
      </c>
      <c r="I468" t="s">
        <v>1027</v>
      </c>
      <c r="J468" t="s">
        <v>1030</v>
      </c>
      <c r="K468" t="s">
        <v>1031</v>
      </c>
    </row>
    <row r="469" spans="1:11" x14ac:dyDescent="0.25">
      <c r="A469" t="s">
        <v>468</v>
      </c>
      <c r="B469" s="1">
        <v>45784</v>
      </c>
      <c r="C469">
        <f t="shared" si="11"/>
        <v>2025</v>
      </c>
      <c r="D469" t="str">
        <f t="shared" si="10"/>
        <v>May</v>
      </c>
      <c r="E469" t="str">
        <f t="shared" si="12"/>
        <v>Week1</v>
      </c>
      <c r="F469" t="s">
        <v>1018</v>
      </c>
      <c r="G469" t="s">
        <v>1013</v>
      </c>
      <c r="H469">
        <v>2000</v>
      </c>
      <c r="I469" t="s">
        <v>1027</v>
      </c>
      <c r="J469" t="s">
        <v>1030</v>
      </c>
      <c r="K469" t="s">
        <v>1031</v>
      </c>
    </row>
    <row r="470" spans="1:11" x14ac:dyDescent="0.25">
      <c r="A470" t="s">
        <v>469</v>
      </c>
      <c r="B470" s="1">
        <v>45779</v>
      </c>
      <c r="C470">
        <f t="shared" si="11"/>
        <v>2025</v>
      </c>
      <c r="D470" t="str">
        <f t="shared" si="10"/>
        <v>May</v>
      </c>
      <c r="E470" t="str">
        <f t="shared" si="12"/>
        <v>Week1</v>
      </c>
      <c r="F470" t="s">
        <v>1049</v>
      </c>
      <c r="G470" t="s">
        <v>1199</v>
      </c>
      <c r="H470">
        <v>24000</v>
      </c>
      <c r="I470" t="s">
        <v>1027</v>
      </c>
      <c r="J470" t="s">
        <v>1030</v>
      </c>
      <c r="K470" t="s">
        <v>1031</v>
      </c>
    </row>
    <row r="471" spans="1:11" x14ac:dyDescent="0.25">
      <c r="A471" t="s">
        <v>470</v>
      </c>
      <c r="B471" s="1">
        <v>45782</v>
      </c>
      <c r="C471">
        <f t="shared" si="11"/>
        <v>2025</v>
      </c>
      <c r="D471" t="str">
        <f t="shared" si="10"/>
        <v>May</v>
      </c>
      <c r="E471" t="str">
        <f t="shared" si="12"/>
        <v>Week1</v>
      </c>
      <c r="F471" t="s">
        <v>1037</v>
      </c>
      <c r="G471" t="s">
        <v>1199</v>
      </c>
      <c r="H471">
        <v>24000</v>
      </c>
      <c r="I471" t="s">
        <v>1027</v>
      </c>
      <c r="J471" t="s">
        <v>1030</v>
      </c>
      <c r="K471" t="s">
        <v>1031</v>
      </c>
    </row>
    <row r="472" spans="1:11" x14ac:dyDescent="0.25">
      <c r="A472" t="s">
        <v>471</v>
      </c>
      <c r="B472" s="1">
        <v>45785</v>
      </c>
      <c r="C472">
        <f t="shared" si="11"/>
        <v>2025</v>
      </c>
      <c r="D472" t="str">
        <f t="shared" si="10"/>
        <v>May</v>
      </c>
      <c r="E472" t="str">
        <f t="shared" si="12"/>
        <v>Week2</v>
      </c>
      <c r="F472" t="s">
        <v>1100</v>
      </c>
      <c r="G472" t="s">
        <v>1010</v>
      </c>
      <c r="H472">
        <v>15000</v>
      </c>
      <c r="I472" t="s">
        <v>1027</v>
      </c>
      <c r="J472" t="s">
        <v>1030</v>
      </c>
      <c r="K472" t="s">
        <v>1031</v>
      </c>
    </row>
    <row r="473" spans="1:11" x14ac:dyDescent="0.25">
      <c r="A473" t="s">
        <v>472</v>
      </c>
      <c r="B473" s="1">
        <v>45785</v>
      </c>
      <c r="C473">
        <f t="shared" si="11"/>
        <v>2025</v>
      </c>
      <c r="D473" t="str">
        <f t="shared" si="10"/>
        <v>May</v>
      </c>
      <c r="E473" t="str">
        <f t="shared" si="12"/>
        <v>Week2</v>
      </c>
      <c r="F473" t="s">
        <v>1146</v>
      </c>
      <c r="G473" t="s">
        <v>1010</v>
      </c>
      <c r="H473">
        <v>50000</v>
      </c>
      <c r="I473" t="s">
        <v>1027</v>
      </c>
      <c r="J473" t="s">
        <v>1030</v>
      </c>
      <c r="K473" t="s">
        <v>1031</v>
      </c>
    </row>
    <row r="474" spans="1:11" x14ac:dyDescent="0.25">
      <c r="A474" t="s">
        <v>473</v>
      </c>
      <c r="B474" s="1">
        <v>45789</v>
      </c>
      <c r="C474">
        <f t="shared" si="11"/>
        <v>2025</v>
      </c>
      <c r="D474" t="str">
        <f t="shared" si="10"/>
        <v>May</v>
      </c>
      <c r="E474" t="str">
        <f t="shared" si="12"/>
        <v>Week2</v>
      </c>
      <c r="F474" t="s">
        <v>1035</v>
      </c>
      <c r="G474" t="s">
        <v>1197</v>
      </c>
      <c r="H474">
        <v>13000</v>
      </c>
      <c r="I474" t="s">
        <v>1027</v>
      </c>
      <c r="J474" t="s">
        <v>1030</v>
      </c>
      <c r="K474" t="s">
        <v>1031</v>
      </c>
    </row>
    <row r="475" spans="1:11" x14ac:dyDescent="0.25">
      <c r="A475" t="s">
        <v>474</v>
      </c>
      <c r="B475" s="1">
        <v>45790</v>
      </c>
      <c r="C475">
        <f t="shared" si="11"/>
        <v>2025</v>
      </c>
      <c r="D475" t="str">
        <f t="shared" si="10"/>
        <v>May</v>
      </c>
      <c r="E475" t="str">
        <f t="shared" si="12"/>
        <v>Week2</v>
      </c>
      <c r="F475" t="s">
        <v>1120</v>
      </c>
      <c r="G475" t="s">
        <v>1014</v>
      </c>
      <c r="H475">
        <v>4500</v>
      </c>
      <c r="I475" t="s">
        <v>1029</v>
      </c>
      <c r="J475" t="s">
        <v>1030</v>
      </c>
      <c r="K475" t="s">
        <v>1031</v>
      </c>
    </row>
    <row r="476" spans="1:11" x14ac:dyDescent="0.25">
      <c r="A476" t="s">
        <v>475</v>
      </c>
      <c r="B476" s="1">
        <v>45791</v>
      </c>
      <c r="C476">
        <f t="shared" si="11"/>
        <v>2025</v>
      </c>
      <c r="D476" t="str">
        <f t="shared" si="10"/>
        <v>May</v>
      </c>
      <c r="E476" t="str">
        <f t="shared" si="12"/>
        <v>Week2</v>
      </c>
      <c r="F476" t="s">
        <v>1134</v>
      </c>
      <c r="G476" t="s">
        <v>1012</v>
      </c>
      <c r="H476">
        <v>60500</v>
      </c>
      <c r="I476" t="s">
        <v>1027</v>
      </c>
      <c r="J476" t="s">
        <v>1030</v>
      </c>
      <c r="K476" t="s">
        <v>1031</v>
      </c>
    </row>
    <row r="477" spans="1:11" x14ac:dyDescent="0.25">
      <c r="A477" t="s">
        <v>476</v>
      </c>
      <c r="B477" s="1">
        <v>45791</v>
      </c>
      <c r="C477">
        <f t="shared" si="11"/>
        <v>2025</v>
      </c>
      <c r="D477" t="str">
        <f t="shared" si="10"/>
        <v>May</v>
      </c>
      <c r="E477" t="str">
        <f t="shared" si="12"/>
        <v>Week2</v>
      </c>
      <c r="F477" t="s">
        <v>1147</v>
      </c>
      <c r="G477" t="s">
        <v>1010</v>
      </c>
      <c r="H477">
        <v>5000</v>
      </c>
      <c r="I477" t="s">
        <v>1029</v>
      </c>
      <c r="J477" t="s">
        <v>1030</v>
      </c>
      <c r="K477" t="s">
        <v>1031</v>
      </c>
    </row>
    <row r="478" spans="1:11" x14ac:dyDescent="0.25">
      <c r="A478" t="s">
        <v>477</v>
      </c>
      <c r="B478" s="1">
        <v>45792</v>
      </c>
      <c r="C478">
        <f t="shared" si="11"/>
        <v>2025</v>
      </c>
      <c r="D478" t="str">
        <f t="shared" si="10"/>
        <v>May</v>
      </c>
      <c r="E478" t="str">
        <f t="shared" si="12"/>
        <v>Week3</v>
      </c>
      <c r="F478" t="s">
        <v>1148</v>
      </c>
      <c r="G478" t="s">
        <v>1198</v>
      </c>
      <c r="H478">
        <v>30000</v>
      </c>
      <c r="I478" t="s">
        <v>1027</v>
      </c>
      <c r="J478" t="s">
        <v>1030</v>
      </c>
      <c r="K478" t="s">
        <v>1031</v>
      </c>
    </row>
    <row r="479" spans="1:11" x14ac:dyDescent="0.25">
      <c r="A479" t="s">
        <v>478</v>
      </c>
      <c r="B479" s="1">
        <v>45783</v>
      </c>
      <c r="C479">
        <f t="shared" si="11"/>
        <v>2025</v>
      </c>
      <c r="D479" t="str">
        <f t="shared" si="10"/>
        <v>May</v>
      </c>
      <c r="E479" t="str">
        <f t="shared" si="12"/>
        <v>Week1</v>
      </c>
      <c r="F479" t="s">
        <v>1025</v>
      </c>
      <c r="G479" t="s">
        <v>1014</v>
      </c>
      <c r="H479">
        <v>5000</v>
      </c>
      <c r="I479" t="s">
        <v>1029</v>
      </c>
      <c r="J479" t="s">
        <v>1030</v>
      </c>
      <c r="K479" t="s">
        <v>1031</v>
      </c>
    </row>
    <row r="480" spans="1:11" x14ac:dyDescent="0.25">
      <c r="A480" t="s">
        <v>479</v>
      </c>
      <c r="B480" s="1">
        <v>45796</v>
      </c>
      <c r="C480">
        <f t="shared" si="11"/>
        <v>2025</v>
      </c>
      <c r="D480" t="str">
        <f t="shared" si="10"/>
        <v>May</v>
      </c>
      <c r="E480" t="str">
        <f t="shared" si="12"/>
        <v>Week3</v>
      </c>
      <c r="F480" t="s">
        <v>1121</v>
      </c>
      <c r="G480" t="s">
        <v>1010</v>
      </c>
      <c r="H480">
        <v>25000</v>
      </c>
      <c r="I480" t="s">
        <v>1027</v>
      </c>
      <c r="J480" t="s">
        <v>1030</v>
      </c>
      <c r="K480" t="s">
        <v>1031</v>
      </c>
    </row>
    <row r="481" spans="1:11" x14ac:dyDescent="0.25">
      <c r="A481" t="s">
        <v>480</v>
      </c>
      <c r="B481" s="1">
        <v>45799</v>
      </c>
      <c r="C481">
        <f t="shared" si="11"/>
        <v>2025</v>
      </c>
      <c r="D481" t="str">
        <f t="shared" si="10"/>
        <v>May</v>
      </c>
      <c r="E481" t="str">
        <f t="shared" si="12"/>
        <v>Week4</v>
      </c>
      <c r="F481" t="s">
        <v>1119</v>
      </c>
      <c r="G481" t="s">
        <v>1011</v>
      </c>
      <c r="H481">
        <v>22000</v>
      </c>
      <c r="I481" t="s">
        <v>1027</v>
      </c>
      <c r="J481" t="s">
        <v>1030</v>
      </c>
      <c r="K481" t="s">
        <v>1031</v>
      </c>
    </row>
    <row r="482" spans="1:11" x14ac:dyDescent="0.25">
      <c r="A482" t="s">
        <v>481</v>
      </c>
      <c r="B482" s="1">
        <v>45799</v>
      </c>
      <c r="C482">
        <f t="shared" si="11"/>
        <v>2025</v>
      </c>
      <c r="D482" t="str">
        <f t="shared" si="10"/>
        <v>May</v>
      </c>
      <c r="E482" t="str">
        <f t="shared" si="12"/>
        <v>Week4</v>
      </c>
      <c r="F482" t="s">
        <v>1149</v>
      </c>
      <c r="G482" t="s">
        <v>1015</v>
      </c>
      <c r="H482">
        <v>12000</v>
      </c>
      <c r="I482" t="s">
        <v>1029</v>
      </c>
      <c r="J482" t="s">
        <v>1030</v>
      </c>
      <c r="K482" t="s">
        <v>1031</v>
      </c>
    </row>
    <row r="483" spans="1:11" x14ac:dyDescent="0.25">
      <c r="A483" t="s">
        <v>482</v>
      </c>
      <c r="B483" s="1">
        <v>45799</v>
      </c>
      <c r="C483">
        <f t="shared" si="11"/>
        <v>2025</v>
      </c>
      <c r="D483" t="str">
        <f t="shared" si="10"/>
        <v>May</v>
      </c>
      <c r="E483" t="str">
        <f t="shared" si="12"/>
        <v>Week4</v>
      </c>
      <c r="F483" t="s">
        <v>1150</v>
      </c>
      <c r="G483" t="s">
        <v>1015</v>
      </c>
      <c r="H483">
        <v>105000</v>
      </c>
      <c r="I483" t="s">
        <v>1027</v>
      </c>
      <c r="J483" t="s">
        <v>1030</v>
      </c>
      <c r="K483" t="s">
        <v>1031</v>
      </c>
    </row>
    <row r="484" spans="1:11" x14ac:dyDescent="0.25">
      <c r="A484" t="s">
        <v>483</v>
      </c>
      <c r="B484" s="1">
        <v>45799</v>
      </c>
      <c r="C484">
        <f t="shared" si="11"/>
        <v>2025</v>
      </c>
      <c r="D484" t="str">
        <f t="shared" si="10"/>
        <v>May</v>
      </c>
      <c r="E484" t="str">
        <f t="shared" si="12"/>
        <v>Week4</v>
      </c>
      <c r="F484" t="s">
        <v>1151</v>
      </c>
      <c r="G484" t="s">
        <v>1010</v>
      </c>
      <c r="H484">
        <v>10000</v>
      </c>
      <c r="I484" t="s">
        <v>1029</v>
      </c>
      <c r="J484" t="s">
        <v>1030</v>
      </c>
      <c r="K484" t="s">
        <v>1031</v>
      </c>
    </row>
    <row r="485" spans="1:11" x14ac:dyDescent="0.25">
      <c r="A485" t="s">
        <v>484</v>
      </c>
      <c r="B485" s="1">
        <v>45803</v>
      </c>
      <c r="C485">
        <f t="shared" si="11"/>
        <v>2025</v>
      </c>
      <c r="D485" t="str">
        <f t="shared" si="10"/>
        <v>May</v>
      </c>
      <c r="E485" t="str">
        <f t="shared" si="12"/>
        <v>Week4</v>
      </c>
      <c r="F485" t="s">
        <v>1018</v>
      </c>
      <c r="G485" t="s">
        <v>1013</v>
      </c>
      <c r="H485">
        <v>2000</v>
      </c>
      <c r="I485" t="s">
        <v>1029</v>
      </c>
      <c r="J485" t="s">
        <v>1030</v>
      </c>
      <c r="K485" t="s">
        <v>1031</v>
      </c>
    </row>
    <row r="486" spans="1:11" x14ac:dyDescent="0.25">
      <c r="A486" t="s">
        <v>485</v>
      </c>
      <c r="B486" s="1">
        <v>45804</v>
      </c>
      <c r="C486">
        <f t="shared" si="11"/>
        <v>2025</v>
      </c>
      <c r="D486" t="str">
        <f t="shared" si="10"/>
        <v>May</v>
      </c>
      <c r="E486" t="str">
        <f t="shared" si="12"/>
        <v>Week4</v>
      </c>
      <c r="F486" t="s">
        <v>1152</v>
      </c>
      <c r="G486" t="s">
        <v>1198</v>
      </c>
      <c r="H486">
        <v>7800</v>
      </c>
      <c r="I486" t="s">
        <v>1029</v>
      </c>
      <c r="J486" t="s">
        <v>1030</v>
      </c>
      <c r="K486" t="s">
        <v>1031</v>
      </c>
    </row>
    <row r="487" spans="1:11" x14ac:dyDescent="0.25">
      <c r="A487" t="s">
        <v>486</v>
      </c>
      <c r="B487" s="1">
        <v>45805</v>
      </c>
      <c r="C487">
        <f t="shared" si="11"/>
        <v>2025</v>
      </c>
      <c r="D487" t="str">
        <f t="shared" si="10"/>
        <v>May</v>
      </c>
      <c r="E487" t="str">
        <f t="shared" si="12"/>
        <v>Week4</v>
      </c>
      <c r="F487" t="s">
        <v>1153</v>
      </c>
      <c r="G487" t="s">
        <v>1010</v>
      </c>
      <c r="H487">
        <v>15000</v>
      </c>
      <c r="I487" t="s">
        <v>1029</v>
      </c>
      <c r="J487" t="s">
        <v>1030</v>
      </c>
      <c r="K487" t="s">
        <v>1031</v>
      </c>
    </row>
    <row r="488" spans="1:11" x14ac:dyDescent="0.25">
      <c r="A488" t="s">
        <v>487</v>
      </c>
      <c r="B488" s="1">
        <v>45805</v>
      </c>
      <c r="C488">
        <f t="shared" si="11"/>
        <v>2025</v>
      </c>
      <c r="D488" t="str">
        <f t="shared" si="10"/>
        <v>May</v>
      </c>
      <c r="E488" t="str">
        <f t="shared" si="12"/>
        <v>Week4</v>
      </c>
      <c r="F488" t="s">
        <v>1021</v>
      </c>
      <c r="G488" t="s">
        <v>1010</v>
      </c>
      <c r="H488">
        <v>3000</v>
      </c>
      <c r="I488" t="s">
        <v>1029</v>
      </c>
      <c r="J488" t="s">
        <v>1030</v>
      </c>
      <c r="K488" t="s">
        <v>1031</v>
      </c>
    </row>
    <row r="489" spans="1:11" x14ac:dyDescent="0.25">
      <c r="A489" t="s">
        <v>488</v>
      </c>
      <c r="B489" s="1">
        <v>45806</v>
      </c>
      <c r="C489">
        <f t="shared" si="11"/>
        <v>2025</v>
      </c>
      <c r="D489" t="str">
        <f t="shared" si="10"/>
        <v>May</v>
      </c>
      <c r="E489" t="str">
        <f t="shared" si="12"/>
        <v>Week5</v>
      </c>
      <c r="F489" t="s">
        <v>1040</v>
      </c>
      <c r="G489" t="s">
        <v>1199</v>
      </c>
      <c r="H489">
        <v>24000</v>
      </c>
      <c r="I489" t="s">
        <v>1027</v>
      </c>
      <c r="J489" t="s">
        <v>1030</v>
      </c>
      <c r="K489" t="s">
        <v>1031</v>
      </c>
    </row>
    <row r="490" spans="1:11" x14ac:dyDescent="0.25">
      <c r="A490" t="s">
        <v>489</v>
      </c>
      <c r="B490" s="1">
        <v>45806</v>
      </c>
      <c r="C490">
        <f t="shared" si="11"/>
        <v>2025</v>
      </c>
      <c r="D490" t="str">
        <f t="shared" si="10"/>
        <v>May</v>
      </c>
      <c r="E490" t="str">
        <f t="shared" si="12"/>
        <v>Week5</v>
      </c>
      <c r="F490" t="s">
        <v>1068</v>
      </c>
      <c r="G490" t="s">
        <v>1011</v>
      </c>
      <c r="H490">
        <v>22000</v>
      </c>
      <c r="I490" t="s">
        <v>1027</v>
      </c>
      <c r="J490" t="s">
        <v>1030</v>
      </c>
      <c r="K490" t="s">
        <v>1031</v>
      </c>
    </row>
    <row r="491" spans="1:11" x14ac:dyDescent="0.25">
      <c r="A491" t="s">
        <v>490</v>
      </c>
      <c r="B491" s="1">
        <v>45806</v>
      </c>
      <c r="C491">
        <f t="shared" si="11"/>
        <v>2025</v>
      </c>
      <c r="D491" t="str">
        <f t="shared" si="10"/>
        <v>May</v>
      </c>
      <c r="E491" t="str">
        <f t="shared" si="12"/>
        <v>Week5</v>
      </c>
      <c r="F491" t="s">
        <v>1119</v>
      </c>
      <c r="G491" t="s">
        <v>1011</v>
      </c>
      <c r="H491">
        <v>25000</v>
      </c>
      <c r="I491" t="s">
        <v>1027</v>
      </c>
      <c r="J491" t="s">
        <v>1030</v>
      </c>
      <c r="K491" t="s">
        <v>1031</v>
      </c>
    </row>
    <row r="492" spans="1:11" x14ac:dyDescent="0.25">
      <c r="A492" t="s">
        <v>491</v>
      </c>
      <c r="B492" s="1">
        <v>45806</v>
      </c>
      <c r="C492">
        <f t="shared" si="11"/>
        <v>2025</v>
      </c>
      <c r="D492" t="str">
        <f t="shared" si="10"/>
        <v>May</v>
      </c>
      <c r="E492" t="str">
        <f t="shared" si="12"/>
        <v>Week5</v>
      </c>
      <c r="F492" t="s">
        <v>1120</v>
      </c>
      <c r="G492" t="s">
        <v>1014</v>
      </c>
      <c r="H492">
        <v>4500</v>
      </c>
      <c r="I492" t="s">
        <v>1029</v>
      </c>
      <c r="J492" t="s">
        <v>1030</v>
      </c>
      <c r="K492" t="s">
        <v>1031</v>
      </c>
    </row>
    <row r="493" spans="1:11" x14ac:dyDescent="0.25">
      <c r="A493" t="s">
        <v>492</v>
      </c>
      <c r="B493" s="1">
        <v>45807</v>
      </c>
      <c r="C493">
        <f t="shared" si="11"/>
        <v>2025</v>
      </c>
      <c r="D493" t="str">
        <f t="shared" si="10"/>
        <v>May</v>
      </c>
      <c r="E493" t="str">
        <f t="shared" si="12"/>
        <v>Week5</v>
      </c>
      <c r="F493" t="s">
        <v>1023</v>
      </c>
      <c r="G493" t="s">
        <v>1201</v>
      </c>
      <c r="H493">
        <v>10000</v>
      </c>
      <c r="I493" t="s">
        <v>1029</v>
      </c>
      <c r="J493" t="s">
        <v>1030</v>
      </c>
      <c r="K493" t="s">
        <v>1031</v>
      </c>
    </row>
    <row r="494" spans="1:11" x14ac:dyDescent="0.25">
      <c r="A494" t="s">
        <v>493</v>
      </c>
      <c r="B494" s="1">
        <v>45807</v>
      </c>
      <c r="C494">
        <f t="shared" si="11"/>
        <v>2025</v>
      </c>
      <c r="D494" t="str">
        <f t="shared" si="10"/>
        <v>May</v>
      </c>
      <c r="E494" t="str">
        <f t="shared" si="12"/>
        <v>Week5</v>
      </c>
      <c r="F494" t="s">
        <v>1098</v>
      </c>
      <c r="G494" t="s">
        <v>1015</v>
      </c>
      <c r="H494">
        <v>3000</v>
      </c>
      <c r="I494" t="s">
        <v>1027</v>
      </c>
      <c r="J494" t="s">
        <v>1030</v>
      </c>
      <c r="K494" t="s">
        <v>1031</v>
      </c>
    </row>
    <row r="495" spans="1:11" x14ac:dyDescent="0.25">
      <c r="A495" t="s">
        <v>494</v>
      </c>
      <c r="B495" s="1">
        <v>45803</v>
      </c>
      <c r="C495">
        <f t="shared" si="11"/>
        <v>2025</v>
      </c>
      <c r="D495" t="str">
        <f t="shared" si="10"/>
        <v>May</v>
      </c>
      <c r="E495" t="str">
        <f t="shared" si="12"/>
        <v>Week4</v>
      </c>
      <c r="F495" t="s">
        <v>1035</v>
      </c>
      <c r="G495" t="s">
        <v>1197</v>
      </c>
      <c r="H495">
        <v>13000</v>
      </c>
      <c r="I495" t="s">
        <v>1027</v>
      </c>
      <c r="J495" t="s">
        <v>1030</v>
      </c>
      <c r="K495" t="s">
        <v>1031</v>
      </c>
    </row>
    <row r="496" spans="1:11" x14ac:dyDescent="0.25">
      <c r="A496" t="s">
        <v>495</v>
      </c>
      <c r="B496" s="1">
        <v>45810</v>
      </c>
      <c r="C496">
        <f t="shared" si="11"/>
        <v>2025</v>
      </c>
      <c r="D496" t="str">
        <f t="shared" si="10"/>
        <v>June</v>
      </c>
      <c r="E496" t="str">
        <f t="shared" si="12"/>
        <v>Week1</v>
      </c>
      <c r="F496" t="s">
        <v>1035</v>
      </c>
      <c r="G496" t="s">
        <v>1197</v>
      </c>
      <c r="H496">
        <v>13000</v>
      </c>
      <c r="I496" t="s">
        <v>1027</v>
      </c>
      <c r="J496" t="s">
        <v>1030</v>
      </c>
      <c r="K496" t="s">
        <v>1031</v>
      </c>
    </row>
    <row r="497" spans="1:11" x14ac:dyDescent="0.25">
      <c r="A497" t="s">
        <v>496</v>
      </c>
      <c r="B497" s="1">
        <v>45810</v>
      </c>
      <c r="C497">
        <f t="shared" si="11"/>
        <v>2025</v>
      </c>
      <c r="D497" t="str">
        <f t="shared" si="10"/>
        <v>June</v>
      </c>
      <c r="E497" t="str">
        <f t="shared" si="12"/>
        <v>Week1</v>
      </c>
      <c r="F497" t="s">
        <v>1033</v>
      </c>
      <c r="G497" t="s">
        <v>1014</v>
      </c>
      <c r="H497">
        <v>129990</v>
      </c>
      <c r="I497" t="s">
        <v>1028</v>
      </c>
      <c r="J497" t="s">
        <v>1030</v>
      </c>
      <c r="K497" t="s">
        <v>1031</v>
      </c>
    </row>
    <row r="498" spans="1:11" x14ac:dyDescent="0.25">
      <c r="A498" t="s">
        <v>497</v>
      </c>
      <c r="B498" s="1">
        <v>45811</v>
      </c>
      <c r="C498">
        <f t="shared" si="11"/>
        <v>2025</v>
      </c>
      <c r="D498" t="str">
        <f t="shared" si="10"/>
        <v>June</v>
      </c>
      <c r="E498" t="str">
        <f t="shared" si="12"/>
        <v>Week1</v>
      </c>
      <c r="F498" t="s">
        <v>1018</v>
      </c>
      <c r="G498" t="s">
        <v>1013</v>
      </c>
      <c r="H498">
        <v>4000</v>
      </c>
      <c r="I498" t="s">
        <v>1027</v>
      </c>
      <c r="J498" t="s">
        <v>1030</v>
      </c>
      <c r="K498" t="s">
        <v>1031</v>
      </c>
    </row>
    <row r="499" spans="1:11" x14ac:dyDescent="0.25">
      <c r="A499" t="s">
        <v>498</v>
      </c>
      <c r="B499" s="1">
        <v>45812</v>
      </c>
      <c r="C499">
        <f t="shared" si="11"/>
        <v>2025</v>
      </c>
      <c r="D499" t="str">
        <f t="shared" si="10"/>
        <v>June</v>
      </c>
      <c r="E499" t="str">
        <f t="shared" si="12"/>
        <v>Week1</v>
      </c>
      <c r="F499" t="s">
        <v>1020</v>
      </c>
      <c r="G499" t="s">
        <v>1013</v>
      </c>
      <c r="H499">
        <v>10000</v>
      </c>
      <c r="I499" t="s">
        <v>1027</v>
      </c>
      <c r="J499" t="s">
        <v>1030</v>
      </c>
      <c r="K499" t="s">
        <v>1031</v>
      </c>
    </row>
    <row r="500" spans="1:11" x14ac:dyDescent="0.25">
      <c r="A500" t="s">
        <v>499</v>
      </c>
      <c r="B500" s="1">
        <v>45813</v>
      </c>
      <c r="C500">
        <f t="shared" si="11"/>
        <v>2025</v>
      </c>
      <c r="D500" t="str">
        <f t="shared" si="10"/>
        <v>June</v>
      </c>
      <c r="E500" t="str">
        <f t="shared" si="12"/>
        <v>Week1</v>
      </c>
      <c r="F500" t="s">
        <v>1154</v>
      </c>
      <c r="G500" t="s">
        <v>1198</v>
      </c>
      <c r="H500">
        <v>60000</v>
      </c>
      <c r="I500" t="s">
        <v>1027</v>
      </c>
      <c r="J500" t="s">
        <v>1030</v>
      </c>
      <c r="K500" t="s">
        <v>1031</v>
      </c>
    </row>
    <row r="501" spans="1:11" x14ac:dyDescent="0.25">
      <c r="A501" t="s">
        <v>500</v>
      </c>
      <c r="B501" s="1">
        <v>45813</v>
      </c>
      <c r="C501">
        <f t="shared" si="11"/>
        <v>2025</v>
      </c>
      <c r="D501" t="str">
        <f t="shared" si="10"/>
        <v>June</v>
      </c>
      <c r="E501" t="str">
        <f t="shared" si="12"/>
        <v>Week1</v>
      </c>
      <c r="F501" t="s">
        <v>1049</v>
      </c>
      <c r="G501" t="s">
        <v>1199</v>
      </c>
      <c r="H501">
        <v>24000</v>
      </c>
      <c r="I501" t="s">
        <v>1027</v>
      </c>
      <c r="J501" t="s">
        <v>1030</v>
      </c>
      <c r="K501" t="s">
        <v>1031</v>
      </c>
    </row>
    <row r="502" spans="1:11" x14ac:dyDescent="0.25">
      <c r="A502" t="s">
        <v>501</v>
      </c>
      <c r="B502" s="1">
        <v>45810</v>
      </c>
      <c r="C502">
        <f t="shared" si="11"/>
        <v>2025</v>
      </c>
      <c r="D502" t="str">
        <f t="shared" si="10"/>
        <v>June</v>
      </c>
      <c r="E502" t="str">
        <f t="shared" si="12"/>
        <v>Week1</v>
      </c>
      <c r="F502" t="s">
        <v>1037</v>
      </c>
      <c r="G502" t="s">
        <v>1199</v>
      </c>
      <c r="H502">
        <v>24000</v>
      </c>
      <c r="I502" t="s">
        <v>1027</v>
      </c>
      <c r="J502" t="s">
        <v>1030</v>
      </c>
      <c r="K502" t="s">
        <v>1031</v>
      </c>
    </row>
    <row r="503" spans="1:11" x14ac:dyDescent="0.25">
      <c r="A503" t="s">
        <v>502</v>
      </c>
      <c r="B503" s="1">
        <v>45812</v>
      </c>
      <c r="C503">
        <f t="shared" si="11"/>
        <v>2025</v>
      </c>
      <c r="D503" t="str">
        <f t="shared" si="10"/>
        <v>June</v>
      </c>
      <c r="E503" t="str">
        <f t="shared" si="12"/>
        <v>Week1</v>
      </c>
      <c r="F503" t="s">
        <v>1041</v>
      </c>
      <c r="G503" t="s">
        <v>1010</v>
      </c>
      <c r="H503">
        <v>2000</v>
      </c>
      <c r="I503" t="s">
        <v>1027</v>
      </c>
      <c r="J503" t="s">
        <v>1030</v>
      </c>
      <c r="K503" t="s">
        <v>1031</v>
      </c>
    </row>
    <row r="504" spans="1:11" x14ac:dyDescent="0.25">
      <c r="A504" t="s">
        <v>503</v>
      </c>
      <c r="B504" s="1">
        <v>45813</v>
      </c>
      <c r="C504">
        <f t="shared" si="11"/>
        <v>2025</v>
      </c>
      <c r="D504" t="str">
        <f t="shared" si="10"/>
        <v>June</v>
      </c>
      <c r="E504" t="str">
        <f t="shared" si="12"/>
        <v>Week1</v>
      </c>
      <c r="F504" t="s">
        <v>1155</v>
      </c>
      <c r="G504" t="s">
        <v>1012</v>
      </c>
      <c r="H504">
        <v>95000</v>
      </c>
      <c r="I504" t="s">
        <v>1028</v>
      </c>
      <c r="J504" t="s">
        <v>1030</v>
      </c>
      <c r="K504" t="s">
        <v>1031</v>
      </c>
    </row>
    <row r="505" spans="1:11" x14ac:dyDescent="0.25">
      <c r="A505" t="s">
        <v>504</v>
      </c>
      <c r="B505" s="1">
        <v>45814</v>
      </c>
      <c r="C505">
        <f t="shared" si="11"/>
        <v>2025</v>
      </c>
      <c r="D505" t="str">
        <f t="shared" si="10"/>
        <v>June</v>
      </c>
      <c r="E505" t="str">
        <f t="shared" si="12"/>
        <v>Week1</v>
      </c>
      <c r="F505" t="s">
        <v>1156</v>
      </c>
      <c r="G505" t="s">
        <v>1198</v>
      </c>
      <c r="H505">
        <v>15000</v>
      </c>
      <c r="I505" t="s">
        <v>1029</v>
      </c>
      <c r="J505" t="s">
        <v>1030</v>
      </c>
      <c r="K505" t="s">
        <v>1031</v>
      </c>
    </row>
    <row r="506" spans="1:11" x14ac:dyDescent="0.25">
      <c r="A506" t="s">
        <v>505</v>
      </c>
      <c r="B506" s="1">
        <v>45814</v>
      </c>
      <c r="C506">
        <f t="shared" si="11"/>
        <v>2025</v>
      </c>
      <c r="D506" t="str">
        <f t="shared" si="10"/>
        <v>June</v>
      </c>
      <c r="E506" t="str">
        <f t="shared" si="12"/>
        <v>Week1</v>
      </c>
      <c r="F506" t="s">
        <v>1157</v>
      </c>
      <c r="G506" t="s">
        <v>1010</v>
      </c>
      <c r="H506">
        <v>12000</v>
      </c>
      <c r="I506" t="s">
        <v>1029</v>
      </c>
      <c r="J506" t="s">
        <v>1030</v>
      </c>
      <c r="K506" t="s">
        <v>1031</v>
      </c>
    </row>
    <row r="507" spans="1:11" x14ac:dyDescent="0.25">
      <c r="A507" t="s">
        <v>506</v>
      </c>
      <c r="B507" s="1">
        <v>45817</v>
      </c>
      <c r="C507">
        <f t="shared" si="11"/>
        <v>2025</v>
      </c>
      <c r="D507" t="str">
        <f t="shared" si="10"/>
        <v>June</v>
      </c>
      <c r="E507" t="str">
        <f t="shared" si="12"/>
        <v>Week2</v>
      </c>
      <c r="F507" t="s">
        <v>1102</v>
      </c>
      <c r="G507" t="s">
        <v>1011</v>
      </c>
      <c r="H507">
        <v>20000</v>
      </c>
      <c r="I507" t="s">
        <v>1027</v>
      </c>
      <c r="J507" t="s">
        <v>1030</v>
      </c>
      <c r="K507" t="s">
        <v>1031</v>
      </c>
    </row>
    <row r="508" spans="1:11" x14ac:dyDescent="0.25">
      <c r="A508" t="s">
        <v>507</v>
      </c>
      <c r="B508" s="1">
        <v>45821</v>
      </c>
      <c r="C508">
        <f t="shared" si="11"/>
        <v>2025</v>
      </c>
      <c r="D508" t="str">
        <f t="shared" si="10"/>
        <v>June</v>
      </c>
      <c r="E508" t="str">
        <f t="shared" si="12"/>
        <v>Week2</v>
      </c>
      <c r="F508" t="s">
        <v>1158</v>
      </c>
      <c r="G508" t="s">
        <v>1198</v>
      </c>
      <c r="H508">
        <v>72000</v>
      </c>
      <c r="I508" t="s">
        <v>1027</v>
      </c>
      <c r="J508" t="s">
        <v>1030</v>
      </c>
      <c r="K508" t="s">
        <v>1031</v>
      </c>
    </row>
    <row r="509" spans="1:11" x14ac:dyDescent="0.25">
      <c r="A509" t="s">
        <v>508</v>
      </c>
      <c r="B509" s="1">
        <v>45818</v>
      </c>
      <c r="C509">
        <f t="shared" si="11"/>
        <v>2025</v>
      </c>
      <c r="D509" t="str">
        <f t="shared" si="10"/>
        <v>June</v>
      </c>
      <c r="E509" t="str">
        <f t="shared" si="12"/>
        <v>Week2</v>
      </c>
      <c r="F509" t="s">
        <v>1035</v>
      </c>
      <c r="G509" t="s">
        <v>1197</v>
      </c>
      <c r="H509">
        <v>13000</v>
      </c>
      <c r="I509" t="s">
        <v>1027</v>
      </c>
      <c r="J509" t="s">
        <v>1030</v>
      </c>
      <c r="K509" t="s">
        <v>1031</v>
      </c>
    </row>
    <row r="510" spans="1:11" x14ac:dyDescent="0.25">
      <c r="A510" t="s">
        <v>509</v>
      </c>
      <c r="B510" s="1">
        <v>45818</v>
      </c>
      <c r="C510">
        <f t="shared" si="11"/>
        <v>2025</v>
      </c>
      <c r="D510" t="str">
        <f t="shared" si="10"/>
        <v>June</v>
      </c>
      <c r="E510" t="str">
        <f t="shared" si="12"/>
        <v>Week2</v>
      </c>
      <c r="F510" t="s">
        <v>1120</v>
      </c>
      <c r="G510" t="s">
        <v>1014</v>
      </c>
      <c r="H510">
        <v>4500</v>
      </c>
      <c r="I510" t="s">
        <v>1029</v>
      </c>
      <c r="J510" t="s">
        <v>1030</v>
      </c>
      <c r="K510" t="s">
        <v>1031</v>
      </c>
    </row>
    <row r="511" spans="1:11" x14ac:dyDescent="0.25">
      <c r="A511" t="s">
        <v>510</v>
      </c>
      <c r="B511" s="1">
        <v>45819</v>
      </c>
      <c r="C511">
        <f t="shared" si="11"/>
        <v>2025</v>
      </c>
      <c r="D511" t="str">
        <f t="shared" si="10"/>
        <v>June</v>
      </c>
      <c r="E511" t="str">
        <f t="shared" si="12"/>
        <v>Week2</v>
      </c>
      <c r="F511" t="s">
        <v>1159</v>
      </c>
      <c r="G511" t="s">
        <v>1014</v>
      </c>
      <c r="H511">
        <v>11800</v>
      </c>
      <c r="I511" t="s">
        <v>1029</v>
      </c>
      <c r="J511" t="s">
        <v>1030</v>
      </c>
      <c r="K511" t="s">
        <v>1031</v>
      </c>
    </row>
    <row r="512" spans="1:11" x14ac:dyDescent="0.25">
      <c r="A512" t="s">
        <v>511</v>
      </c>
      <c r="B512" s="1">
        <v>45820</v>
      </c>
      <c r="C512">
        <f t="shared" si="11"/>
        <v>2025</v>
      </c>
      <c r="D512" t="str">
        <f t="shared" si="10"/>
        <v>June</v>
      </c>
      <c r="E512" t="str">
        <f t="shared" si="12"/>
        <v>Week2</v>
      </c>
      <c r="F512" t="s">
        <v>1035</v>
      </c>
      <c r="G512" t="s">
        <v>1197</v>
      </c>
      <c r="H512">
        <v>13000</v>
      </c>
      <c r="I512" t="s">
        <v>1027</v>
      </c>
      <c r="J512" t="s">
        <v>1030</v>
      </c>
      <c r="K512" t="s">
        <v>1031</v>
      </c>
    </row>
    <row r="513" spans="1:11" x14ac:dyDescent="0.25">
      <c r="A513" t="s">
        <v>512</v>
      </c>
      <c r="B513" s="1">
        <v>45823</v>
      </c>
      <c r="C513">
        <f t="shared" si="11"/>
        <v>2025</v>
      </c>
      <c r="D513" t="str">
        <f t="shared" si="10"/>
        <v>June</v>
      </c>
      <c r="E513" t="str">
        <f t="shared" si="12"/>
        <v>Week3</v>
      </c>
      <c r="F513" t="s">
        <v>1068</v>
      </c>
      <c r="G513" t="s">
        <v>1011</v>
      </c>
      <c r="H513">
        <v>20000</v>
      </c>
      <c r="I513" t="s">
        <v>1028</v>
      </c>
      <c r="J513" t="s">
        <v>1030</v>
      </c>
      <c r="K513" t="s">
        <v>1031</v>
      </c>
    </row>
    <row r="514" spans="1:11" x14ac:dyDescent="0.25">
      <c r="A514" t="s">
        <v>513</v>
      </c>
      <c r="B514" s="1">
        <v>45821</v>
      </c>
      <c r="C514">
        <f t="shared" si="11"/>
        <v>2025</v>
      </c>
      <c r="D514" t="str">
        <f t="shared" si="10"/>
        <v>June</v>
      </c>
      <c r="E514" t="str">
        <f t="shared" si="12"/>
        <v>Week2</v>
      </c>
      <c r="F514" t="s">
        <v>1018</v>
      </c>
      <c r="G514" t="s">
        <v>1013</v>
      </c>
      <c r="H514">
        <v>3000</v>
      </c>
      <c r="I514" t="s">
        <v>1027</v>
      </c>
      <c r="J514" t="s">
        <v>1030</v>
      </c>
      <c r="K514" t="s">
        <v>1031</v>
      </c>
    </row>
    <row r="515" spans="1:11" x14ac:dyDescent="0.25">
      <c r="A515" t="s">
        <v>514</v>
      </c>
      <c r="B515" s="1">
        <v>45821</v>
      </c>
      <c r="C515">
        <f t="shared" si="11"/>
        <v>2025</v>
      </c>
      <c r="D515" t="str">
        <f t="shared" si="10"/>
        <v>June</v>
      </c>
      <c r="E515" t="str">
        <f t="shared" si="12"/>
        <v>Week2</v>
      </c>
      <c r="F515" t="s">
        <v>1160</v>
      </c>
      <c r="G515" t="s">
        <v>1198</v>
      </c>
      <c r="H515">
        <v>31000</v>
      </c>
      <c r="I515" t="s">
        <v>1028</v>
      </c>
      <c r="J515" t="s">
        <v>1030</v>
      </c>
      <c r="K515" t="s">
        <v>1031</v>
      </c>
    </row>
    <row r="516" spans="1:11" x14ac:dyDescent="0.25">
      <c r="A516" t="s">
        <v>515</v>
      </c>
      <c r="B516" s="1">
        <v>45824</v>
      </c>
      <c r="C516">
        <f t="shared" si="11"/>
        <v>2025</v>
      </c>
      <c r="D516" t="str">
        <f t="shared" si="10"/>
        <v>June</v>
      </c>
      <c r="E516" t="str">
        <f t="shared" si="12"/>
        <v>Week3</v>
      </c>
      <c r="F516" t="s">
        <v>1035</v>
      </c>
      <c r="G516" t="s">
        <v>1197</v>
      </c>
      <c r="H516">
        <v>13000</v>
      </c>
      <c r="I516" t="s">
        <v>1027</v>
      </c>
      <c r="J516" t="s">
        <v>1030</v>
      </c>
      <c r="K516" t="s">
        <v>1031</v>
      </c>
    </row>
    <row r="517" spans="1:11" x14ac:dyDescent="0.25">
      <c r="A517" t="s">
        <v>516</v>
      </c>
      <c r="B517" s="1">
        <v>45826</v>
      </c>
      <c r="C517">
        <f t="shared" si="11"/>
        <v>2025</v>
      </c>
      <c r="D517" t="str">
        <f t="shared" si="10"/>
        <v>June</v>
      </c>
      <c r="E517" t="str">
        <f t="shared" si="12"/>
        <v>Week3</v>
      </c>
      <c r="F517" t="s">
        <v>1120</v>
      </c>
      <c r="G517" t="s">
        <v>1014</v>
      </c>
      <c r="H517">
        <v>4500</v>
      </c>
      <c r="I517" t="s">
        <v>1029</v>
      </c>
      <c r="J517" t="s">
        <v>1030</v>
      </c>
      <c r="K517" t="s">
        <v>1031</v>
      </c>
    </row>
    <row r="518" spans="1:11" x14ac:dyDescent="0.25">
      <c r="A518" t="s">
        <v>517</v>
      </c>
      <c r="B518" s="1">
        <v>45826</v>
      </c>
      <c r="C518">
        <f t="shared" si="11"/>
        <v>2025</v>
      </c>
      <c r="D518" t="str">
        <f t="shared" si="10"/>
        <v>June</v>
      </c>
      <c r="E518" t="str">
        <f t="shared" si="12"/>
        <v>Week3</v>
      </c>
      <c r="F518" t="s">
        <v>1161</v>
      </c>
      <c r="G518" t="s">
        <v>1014</v>
      </c>
      <c r="H518">
        <v>22000</v>
      </c>
      <c r="I518" t="s">
        <v>1027</v>
      </c>
      <c r="J518" t="s">
        <v>1030</v>
      </c>
      <c r="K518" t="s">
        <v>1031</v>
      </c>
    </row>
    <row r="519" spans="1:11" x14ac:dyDescent="0.25">
      <c r="A519" t="s">
        <v>518</v>
      </c>
      <c r="B519" s="1">
        <v>45826</v>
      </c>
      <c r="C519">
        <f t="shared" si="11"/>
        <v>2025</v>
      </c>
      <c r="D519" t="str">
        <f t="shared" si="10"/>
        <v>June</v>
      </c>
      <c r="E519" t="str">
        <f t="shared" si="12"/>
        <v>Week3</v>
      </c>
      <c r="F519" t="s">
        <v>1162</v>
      </c>
      <c r="G519" t="s">
        <v>1198</v>
      </c>
      <c r="H519">
        <v>20000</v>
      </c>
      <c r="I519" t="s">
        <v>1027</v>
      </c>
      <c r="J519" t="s">
        <v>1030</v>
      </c>
      <c r="K519" t="s">
        <v>1031</v>
      </c>
    </row>
    <row r="520" spans="1:11" x14ac:dyDescent="0.25">
      <c r="A520" t="s">
        <v>519</v>
      </c>
      <c r="B520" s="1">
        <v>45826</v>
      </c>
      <c r="C520">
        <f t="shared" si="11"/>
        <v>2025</v>
      </c>
      <c r="D520" t="str">
        <f t="shared" si="10"/>
        <v>June</v>
      </c>
      <c r="E520" t="str">
        <f t="shared" si="12"/>
        <v>Week3</v>
      </c>
      <c r="F520" t="s">
        <v>1102</v>
      </c>
      <c r="G520" t="s">
        <v>1011</v>
      </c>
      <c r="H520">
        <v>20000</v>
      </c>
      <c r="I520" t="s">
        <v>1027</v>
      </c>
      <c r="J520" t="s">
        <v>1030</v>
      </c>
      <c r="K520" t="s">
        <v>1031</v>
      </c>
    </row>
    <row r="521" spans="1:11" x14ac:dyDescent="0.25">
      <c r="A521" t="s">
        <v>520</v>
      </c>
      <c r="B521" s="1">
        <v>45827</v>
      </c>
      <c r="C521">
        <f t="shared" si="11"/>
        <v>2025</v>
      </c>
      <c r="D521" t="str">
        <f t="shared" si="10"/>
        <v>June</v>
      </c>
      <c r="E521" t="str">
        <f t="shared" si="12"/>
        <v>Week3</v>
      </c>
      <c r="F521" t="s">
        <v>1160</v>
      </c>
      <c r="G521" t="s">
        <v>1198</v>
      </c>
      <c r="H521">
        <v>31000</v>
      </c>
      <c r="I521" t="s">
        <v>1027</v>
      </c>
      <c r="J521" t="s">
        <v>1030</v>
      </c>
      <c r="K521" t="s">
        <v>1031</v>
      </c>
    </row>
    <row r="522" spans="1:11" x14ac:dyDescent="0.25">
      <c r="A522" t="s">
        <v>521</v>
      </c>
      <c r="B522" s="1">
        <v>45796</v>
      </c>
      <c r="C522">
        <f t="shared" si="11"/>
        <v>2025</v>
      </c>
      <c r="D522" t="str">
        <f t="shared" si="10"/>
        <v>May</v>
      </c>
      <c r="E522" t="str">
        <f t="shared" si="12"/>
        <v>Week3</v>
      </c>
      <c r="F522" t="s">
        <v>1163</v>
      </c>
      <c r="G522" t="s">
        <v>1198</v>
      </c>
      <c r="H522">
        <v>72000</v>
      </c>
      <c r="I522" t="s">
        <v>1027</v>
      </c>
      <c r="J522" t="s">
        <v>1030</v>
      </c>
      <c r="K522" t="s">
        <v>1031</v>
      </c>
    </row>
    <row r="523" spans="1:11" x14ac:dyDescent="0.25">
      <c r="A523" t="s">
        <v>522</v>
      </c>
      <c r="B523" s="1">
        <v>45828</v>
      </c>
      <c r="C523">
        <f t="shared" si="11"/>
        <v>2025</v>
      </c>
      <c r="D523" t="str">
        <f t="shared" si="10"/>
        <v>June</v>
      </c>
      <c r="E523" t="str">
        <f t="shared" si="12"/>
        <v>Week3</v>
      </c>
      <c r="F523" t="s">
        <v>1119</v>
      </c>
      <c r="G523" t="s">
        <v>1011</v>
      </c>
      <c r="H523">
        <v>15000</v>
      </c>
      <c r="I523" t="s">
        <v>1027</v>
      </c>
      <c r="J523" t="s">
        <v>1030</v>
      </c>
      <c r="K523" t="s">
        <v>1031</v>
      </c>
    </row>
    <row r="524" spans="1:11" x14ac:dyDescent="0.25">
      <c r="A524" t="s">
        <v>523</v>
      </c>
      <c r="B524" s="1">
        <v>45830</v>
      </c>
      <c r="C524">
        <f t="shared" si="11"/>
        <v>2025</v>
      </c>
      <c r="D524" t="str">
        <f t="shared" si="10"/>
        <v>June</v>
      </c>
      <c r="E524" t="str">
        <f t="shared" si="12"/>
        <v>Week4</v>
      </c>
      <c r="F524" t="s">
        <v>1068</v>
      </c>
      <c r="G524" t="s">
        <v>1011</v>
      </c>
      <c r="H524">
        <v>25000</v>
      </c>
      <c r="I524" t="s">
        <v>1027</v>
      </c>
      <c r="J524" t="s">
        <v>1030</v>
      </c>
      <c r="K524" t="s">
        <v>1031</v>
      </c>
    </row>
    <row r="525" spans="1:11" x14ac:dyDescent="0.25">
      <c r="A525" t="s">
        <v>524</v>
      </c>
      <c r="B525" s="1">
        <v>45831</v>
      </c>
      <c r="C525">
        <f t="shared" si="11"/>
        <v>2025</v>
      </c>
      <c r="D525" t="str">
        <f t="shared" si="10"/>
        <v>June</v>
      </c>
      <c r="E525" t="str">
        <f t="shared" si="12"/>
        <v>Week4</v>
      </c>
      <c r="F525" t="s">
        <v>1102</v>
      </c>
      <c r="G525" t="s">
        <v>1011</v>
      </c>
      <c r="H525">
        <v>24000</v>
      </c>
      <c r="I525" t="s">
        <v>1027</v>
      </c>
      <c r="J525" t="s">
        <v>1030</v>
      </c>
      <c r="K525" t="s">
        <v>1031</v>
      </c>
    </row>
    <row r="526" spans="1:11" x14ac:dyDescent="0.25">
      <c r="A526" t="s">
        <v>525</v>
      </c>
      <c r="B526" s="1">
        <v>45831</v>
      </c>
      <c r="C526">
        <f t="shared" si="11"/>
        <v>2025</v>
      </c>
      <c r="D526" t="str">
        <f t="shared" si="10"/>
        <v>June</v>
      </c>
      <c r="E526" t="str">
        <f t="shared" si="12"/>
        <v>Week4</v>
      </c>
      <c r="F526" t="s">
        <v>1035</v>
      </c>
      <c r="G526" t="s">
        <v>1197</v>
      </c>
      <c r="H526">
        <v>13000</v>
      </c>
      <c r="I526" t="s">
        <v>1027</v>
      </c>
      <c r="J526" t="s">
        <v>1030</v>
      </c>
      <c r="K526" t="s">
        <v>1031</v>
      </c>
    </row>
    <row r="527" spans="1:11" x14ac:dyDescent="0.25">
      <c r="A527" t="s">
        <v>526</v>
      </c>
      <c r="B527" s="1">
        <v>45831</v>
      </c>
      <c r="C527">
        <f t="shared" si="11"/>
        <v>2025</v>
      </c>
      <c r="D527" t="str">
        <f t="shared" si="10"/>
        <v>June</v>
      </c>
      <c r="E527" t="str">
        <f t="shared" si="12"/>
        <v>Week4</v>
      </c>
      <c r="F527" t="s">
        <v>1119</v>
      </c>
      <c r="G527" t="s">
        <v>1011</v>
      </c>
      <c r="H527">
        <v>25000</v>
      </c>
      <c r="I527" t="s">
        <v>1027</v>
      </c>
      <c r="J527" t="s">
        <v>1030</v>
      </c>
      <c r="K527" t="s">
        <v>1031</v>
      </c>
    </row>
    <row r="528" spans="1:11" x14ac:dyDescent="0.25">
      <c r="A528" t="s">
        <v>527</v>
      </c>
      <c r="B528" s="1">
        <v>45824</v>
      </c>
      <c r="C528">
        <f t="shared" si="11"/>
        <v>2025</v>
      </c>
      <c r="D528" t="str">
        <f t="shared" si="10"/>
        <v>June</v>
      </c>
      <c r="E528" t="str">
        <f t="shared" si="12"/>
        <v>Week3</v>
      </c>
      <c r="F528" t="s">
        <v>1164</v>
      </c>
      <c r="G528" t="s">
        <v>1015</v>
      </c>
      <c r="H528">
        <v>12000</v>
      </c>
      <c r="I528" t="s">
        <v>1029</v>
      </c>
      <c r="J528" t="s">
        <v>1030</v>
      </c>
      <c r="K528" t="s">
        <v>1031</v>
      </c>
    </row>
    <row r="529" spans="1:11" x14ac:dyDescent="0.25">
      <c r="A529" t="s">
        <v>528</v>
      </c>
      <c r="B529" s="1">
        <v>45833</v>
      </c>
      <c r="C529">
        <f t="shared" si="11"/>
        <v>2025</v>
      </c>
      <c r="D529" t="str">
        <f t="shared" si="10"/>
        <v>June</v>
      </c>
      <c r="E529" t="str">
        <f t="shared" si="12"/>
        <v>Week4</v>
      </c>
      <c r="F529" t="s">
        <v>1018</v>
      </c>
      <c r="G529" t="s">
        <v>1013</v>
      </c>
      <c r="H529">
        <v>3000</v>
      </c>
      <c r="I529" t="s">
        <v>1027</v>
      </c>
      <c r="J529" t="s">
        <v>1030</v>
      </c>
      <c r="K529" t="s">
        <v>1031</v>
      </c>
    </row>
    <row r="530" spans="1:11" x14ac:dyDescent="0.25">
      <c r="A530" t="s">
        <v>529</v>
      </c>
      <c r="B530" s="1">
        <v>45834</v>
      </c>
      <c r="C530">
        <f t="shared" si="11"/>
        <v>2025</v>
      </c>
      <c r="D530" t="str">
        <f t="shared" si="10"/>
        <v>June</v>
      </c>
      <c r="E530" t="str">
        <f t="shared" si="12"/>
        <v>Week4</v>
      </c>
      <c r="F530" t="s">
        <v>1119</v>
      </c>
      <c r="G530" t="s">
        <v>1011</v>
      </c>
      <c r="H530">
        <v>22000</v>
      </c>
      <c r="I530" t="s">
        <v>1027</v>
      </c>
      <c r="J530" t="s">
        <v>1030</v>
      </c>
      <c r="K530" t="s">
        <v>1031</v>
      </c>
    </row>
    <row r="531" spans="1:11" x14ac:dyDescent="0.25">
      <c r="A531" t="s">
        <v>530</v>
      </c>
      <c r="B531" s="1">
        <v>45834</v>
      </c>
      <c r="C531">
        <f t="shared" si="11"/>
        <v>2025</v>
      </c>
      <c r="D531" t="str">
        <f t="shared" si="10"/>
        <v>June</v>
      </c>
      <c r="E531" t="str">
        <f t="shared" si="12"/>
        <v>Week4</v>
      </c>
      <c r="F531" t="s">
        <v>1102</v>
      </c>
      <c r="G531" t="s">
        <v>1011</v>
      </c>
      <c r="H531">
        <v>20000</v>
      </c>
      <c r="I531" t="s">
        <v>1027</v>
      </c>
      <c r="J531" t="s">
        <v>1030</v>
      </c>
      <c r="K531" t="s">
        <v>1031</v>
      </c>
    </row>
    <row r="532" spans="1:11" x14ac:dyDescent="0.25">
      <c r="A532" t="s">
        <v>531</v>
      </c>
      <c r="B532" s="1">
        <v>45836</v>
      </c>
      <c r="C532">
        <f t="shared" si="11"/>
        <v>2025</v>
      </c>
      <c r="D532" t="str">
        <f t="shared" ref="D532:D683" si="13">TEXT(B532,"mmmm")</f>
        <v>June</v>
      </c>
      <c r="E532" t="str">
        <f t="shared" si="12"/>
        <v>Week4</v>
      </c>
      <c r="F532" t="s">
        <v>1102</v>
      </c>
      <c r="G532" t="s">
        <v>1011</v>
      </c>
      <c r="H532">
        <v>20000</v>
      </c>
      <c r="I532" t="s">
        <v>1028</v>
      </c>
      <c r="J532" t="s">
        <v>1030</v>
      </c>
      <c r="K532" t="s">
        <v>1031</v>
      </c>
    </row>
    <row r="533" spans="1:11" x14ac:dyDescent="0.25">
      <c r="A533" t="s">
        <v>532</v>
      </c>
      <c r="B533" s="1">
        <v>45837</v>
      </c>
      <c r="C533">
        <f t="shared" si="11"/>
        <v>2025</v>
      </c>
      <c r="D533" t="str">
        <f t="shared" si="13"/>
        <v>June</v>
      </c>
      <c r="E533" t="str">
        <f t="shared" si="12"/>
        <v>Week5</v>
      </c>
      <c r="F533" t="s">
        <v>1025</v>
      </c>
      <c r="G533" t="s">
        <v>1014</v>
      </c>
      <c r="H533">
        <v>5000</v>
      </c>
      <c r="I533" t="s">
        <v>1027</v>
      </c>
      <c r="J533" t="s">
        <v>1030</v>
      </c>
      <c r="K533" t="s">
        <v>1031</v>
      </c>
    </row>
    <row r="534" spans="1:11" x14ac:dyDescent="0.25">
      <c r="A534" t="s">
        <v>533</v>
      </c>
      <c r="B534" s="1">
        <v>45837</v>
      </c>
      <c r="C534">
        <f t="shared" si="11"/>
        <v>2025</v>
      </c>
      <c r="D534" t="str">
        <f t="shared" si="13"/>
        <v>June</v>
      </c>
      <c r="E534" t="str">
        <f t="shared" si="12"/>
        <v>Week5</v>
      </c>
      <c r="F534" t="s">
        <v>1040</v>
      </c>
      <c r="G534" t="s">
        <v>1199</v>
      </c>
      <c r="H534">
        <v>20000</v>
      </c>
      <c r="I534" t="s">
        <v>1027</v>
      </c>
      <c r="J534" t="s">
        <v>1030</v>
      </c>
      <c r="K534" t="s">
        <v>1031</v>
      </c>
    </row>
    <row r="535" spans="1:11" x14ac:dyDescent="0.25">
      <c r="A535" t="s">
        <v>534</v>
      </c>
      <c r="B535" s="1">
        <v>45838</v>
      </c>
      <c r="C535">
        <f t="shared" si="11"/>
        <v>2025</v>
      </c>
      <c r="D535" t="str">
        <f t="shared" si="13"/>
        <v>June</v>
      </c>
      <c r="E535" t="str">
        <f t="shared" si="12"/>
        <v>Week5</v>
      </c>
      <c r="F535" t="s">
        <v>1023</v>
      </c>
      <c r="G535" t="s">
        <v>1201</v>
      </c>
      <c r="H535">
        <v>10000</v>
      </c>
      <c r="I535" t="s">
        <v>1029</v>
      </c>
      <c r="J535" t="s">
        <v>1030</v>
      </c>
      <c r="K535" t="s">
        <v>1031</v>
      </c>
    </row>
    <row r="536" spans="1:11" x14ac:dyDescent="0.25">
      <c r="A536" t="s">
        <v>535</v>
      </c>
      <c r="B536" s="1">
        <v>45838</v>
      </c>
      <c r="C536">
        <f t="shared" si="11"/>
        <v>2025</v>
      </c>
      <c r="D536" t="str">
        <f t="shared" si="13"/>
        <v>June</v>
      </c>
      <c r="E536" t="str">
        <f t="shared" si="12"/>
        <v>Week5</v>
      </c>
      <c r="F536" t="s">
        <v>1035</v>
      </c>
      <c r="G536" t="s">
        <v>1197</v>
      </c>
      <c r="H536">
        <v>13000</v>
      </c>
      <c r="I536" t="s">
        <v>1027</v>
      </c>
      <c r="J536" t="s">
        <v>1030</v>
      </c>
      <c r="K536" t="s">
        <v>1031</v>
      </c>
    </row>
    <row r="537" spans="1:11" x14ac:dyDescent="0.25">
      <c r="A537" t="s">
        <v>536</v>
      </c>
      <c r="B537" s="1">
        <v>45838</v>
      </c>
      <c r="C537">
        <f t="shared" si="11"/>
        <v>2025</v>
      </c>
      <c r="D537" t="str">
        <f t="shared" si="13"/>
        <v>June</v>
      </c>
      <c r="E537" t="str">
        <f t="shared" si="12"/>
        <v>Week5</v>
      </c>
      <c r="F537" t="s">
        <v>1119</v>
      </c>
      <c r="G537" t="s">
        <v>1011</v>
      </c>
      <c r="H537">
        <v>15000</v>
      </c>
      <c r="I537" t="s">
        <v>1027</v>
      </c>
      <c r="J537" t="s">
        <v>1030</v>
      </c>
      <c r="K537" t="s">
        <v>1031</v>
      </c>
    </row>
    <row r="538" spans="1:11" x14ac:dyDescent="0.25">
      <c r="A538" t="s">
        <v>537</v>
      </c>
      <c r="B538" s="1">
        <v>45838</v>
      </c>
      <c r="C538">
        <f t="shared" si="11"/>
        <v>2025</v>
      </c>
      <c r="D538" t="str">
        <f t="shared" si="13"/>
        <v>June</v>
      </c>
      <c r="E538" t="str">
        <f t="shared" si="12"/>
        <v>Week5</v>
      </c>
      <c r="F538" t="s">
        <v>1120</v>
      </c>
      <c r="G538" t="s">
        <v>1014</v>
      </c>
      <c r="H538">
        <v>4500</v>
      </c>
      <c r="I538" t="s">
        <v>1027</v>
      </c>
      <c r="J538" t="s">
        <v>1030</v>
      </c>
      <c r="K538" t="s">
        <v>1031</v>
      </c>
    </row>
    <row r="539" spans="1:11" x14ac:dyDescent="0.25">
      <c r="A539" t="s">
        <v>538</v>
      </c>
      <c r="B539" s="1">
        <v>45839</v>
      </c>
      <c r="C539">
        <f t="shared" si="11"/>
        <v>2025</v>
      </c>
      <c r="D539" t="str">
        <f t="shared" si="13"/>
        <v>July</v>
      </c>
      <c r="E539" t="str">
        <f t="shared" si="12"/>
        <v>Week1</v>
      </c>
      <c r="F539" t="s">
        <v>1049</v>
      </c>
      <c r="G539" t="s">
        <v>1199</v>
      </c>
      <c r="H539">
        <v>24000</v>
      </c>
      <c r="I539" t="s">
        <v>1027</v>
      </c>
      <c r="J539" t="s">
        <v>1030</v>
      </c>
      <c r="K539" t="s">
        <v>1031</v>
      </c>
    </row>
    <row r="540" spans="1:11" x14ac:dyDescent="0.25">
      <c r="A540" t="s">
        <v>539</v>
      </c>
      <c r="B540" s="1">
        <v>45839</v>
      </c>
      <c r="C540">
        <f t="shared" si="11"/>
        <v>2025</v>
      </c>
      <c r="D540" t="str">
        <f t="shared" si="13"/>
        <v>July</v>
      </c>
      <c r="E540" t="str">
        <f t="shared" si="12"/>
        <v>Week1</v>
      </c>
      <c r="F540" t="s">
        <v>1165</v>
      </c>
      <c r="G540" t="s">
        <v>1198</v>
      </c>
      <c r="H540">
        <v>9000</v>
      </c>
      <c r="I540" t="s">
        <v>1029</v>
      </c>
      <c r="J540" t="s">
        <v>1030</v>
      </c>
      <c r="K540" t="s">
        <v>1031</v>
      </c>
    </row>
    <row r="541" spans="1:11" x14ac:dyDescent="0.25">
      <c r="A541" t="s">
        <v>540</v>
      </c>
      <c r="B541" s="1">
        <v>45840</v>
      </c>
      <c r="C541">
        <f t="shared" si="11"/>
        <v>2025</v>
      </c>
      <c r="D541" t="str">
        <f t="shared" si="13"/>
        <v>July</v>
      </c>
      <c r="E541" t="str">
        <f t="shared" si="12"/>
        <v>Week1</v>
      </c>
      <c r="F541" t="s">
        <v>1033</v>
      </c>
      <c r="G541" t="s">
        <v>1014</v>
      </c>
      <c r="H541">
        <v>124470</v>
      </c>
      <c r="I541" t="s">
        <v>1027</v>
      </c>
      <c r="J541" t="s">
        <v>1030</v>
      </c>
      <c r="K541" t="s">
        <v>1031</v>
      </c>
    </row>
    <row r="542" spans="1:11" x14ac:dyDescent="0.25">
      <c r="A542" t="s">
        <v>541</v>
      </c>
      <c r="B542" s="1">
        <v>45840</v>
      </c>
      <c r="C542">
        <f t="shared" si="11"/>
        <v>2025</v>
      </c>
      <c r="D542" t="str">
        <f t="shared" si="13"/>
        <v>July</v>
      </c>
      <c r="E542" t="str">
        <f t="shared" si="12"/>
        <v>Week1</v>
      </c>
      <c r="F542" t="s">
        <v>1166</v>
      </c>
      <c r="G542" t="s">
        <v>1010</v>
      </c>
      <c r="H542">
        <v>15000</v>
      </c>
      <c r="I542" t="s">
        <v>1027</v>
      </c>
      <c r="J542" t="s">
        <v>1030</v>
      </c>
      <c r="K542" t="s">
        <v>1031</v>
      </c>
    </row>
    <row r="543" spans="1:11" x14ac:dyDescent="0.25">
      <c r="A543" t="s">
        <v>542</v>
      </c>
      <c r="B543" s="1">
        <v>45842</v>
      </c>
      <c r="C543">
        <f t="shared" si="11"/>
        <v>2025</v>
      </c>
      <c r="D543" t="str">
        <f t="shared" si="13"/>
        <v>July</v>
      </c>
      <c r="E543" t="str">
        <f t="shared" si="12"/>
        <v>Week1</v>
      </c>
      <c r="F543" t="s">
        <v>1037</v>
      </c>
      <c r="G543" t="s">
        <v>1199</v>
      </c>
      <c r="H543">
        <v>24000</v>
      </c>
      <c r="I543" t="s">
        <v>1027</v>
      </c>
      <c r="J543" t="s">
        <v>1030</v>
      </c>
      <c r="K543" t="s">
        <v>1031</v>
      </c>
    </row>
    <row r="544" spans="1:11" x14ac:dyDescent="0.25">
      <c r="A544" t="s">
        <v>543</v>
      </c>
      <c r="B544" s="1">
        <v>45845</v>
      </c>
      <c r="C544">
        <f t="shared" si="11"/>
        <v>2025</v>
      </c>
      <c r="D544" t="str">
        <f t="shared" si="13"/>
        <v>July</v>
      </c>
      <c r="E544" t="str">
        <f t="shared" si="12"/>
        <v>Week1</v>
      </c>
      <c r="F544" t="s">
        <v>1035</v>
      </c>
      <c r="G544" t="s">
        <v>1197</v>
      </c>
      <c r="H544">
        <v>13000</v>
      </c>
      <c r="I544" t="s">
        <v>1027</v>
      </c>
      <c r="J544" t="s">
        <v>1030</v>
      </c>
      <c r="K544" t="s">
        <v>1031</v>
      </c>
    </row>
    <row r="545" spans="1:11" x14ac:dyDescent="0.25">
      <c r="A545" t="s">
        <v>544</v>
      </c>
      <c r="B545" s="1">
        <v>45852</v>
      </c>
      <c r="C545">
        <f t="shared" si="11"/>
        <v>2025</v>
      </c>
      <c r="D545" t="str">
        <f t="shared" si="13"/>
        <v>July</v>
      </c>
      <c r="E545" t="str">
        <f t="shared" si="12"/>
        <v>Week2</v>
      </c>
      <c r="F545" t="s">
        <v>1018</v>
      </c>
      <c r="G545" t="s">
        <v>1013</v>
      </c>
      <c r="H545">
        <v>3000</v>
      </c>
      <c r="I545" t="s">
        <v>1029</v>
      </c>
      <c r="J545" t="s">
        <v>1030</v>
      </c>
      <c r="K545" t="s">
        <v>1031</v>
      </c>
    </row>
    <row r="546" spans="1:11" x14ac:dyDescent="0.25">
      <c r="A546" t="s">
        <v>545</v>
      </c>
      <c r="B546" s="1">
        <v>45854</v>
      </c>
      <c r="C546">
        <f t="shared" si="11"/>
        <v>2025</v>
      </c>
      <c r="D546" t="str">
        <f t="shared" si="13"/>
        <v>July</v>
      </c>
      <c r="E546" t="str">
        <f t="shared" si="12"/>
        <v>Week3</v>
      </c>
      <c r="F546" t="s">
        <v>1124</v>
      </c>
      <c r="G546" t="s">
        <v>1010</v>
      </c>
      <c r="H546">
        <v>10000</v>
      </c>
      <c r="I546" t="s">
        <v>1027</v>
      </c>
      <c r="J546" t="s">
        <v>1030</v>
      </c>
      <c r="K546" t="s">
        <v>1031</v>
      </c>
    </row>
    <row r="547" spans="1:11" x14ac:dyDescent="0.25">
      <c r="A547" t="s">
        <v>546</v>
      </c>
      <c r="B547" s="1">
        <v>45856</v>
      </c>
      <c r="C547">
        <f t="shared" si="11"/>
        <v>2025</v>
      </c>
      <c r="D547" t="str">
        <f t="shared" si="13"/>
        <v>July</v>
      </c>
      <c r="E547" t="str">
        <f t="shared" si="12"/>
        <v>Week3</v>
      </c>
      <c r="F547" t="s">
        <v>1041</v>
      </c>
      <c r="G547" t="s">
        <v>1010</v>
      </c>
      <c r="H547">
        <v>3000</v>
      </c>
      <c r="I547" t="s">
        <v>1029</v>
      </c>
      <c r="J547" t="s">
        <v>1030</v>
      </c>
      <c r="K547" t="s">
        <v>1031</v>
      </c>
    </row>
    <row r="548" spans="1:11" x14ac:dyDescent="0.25">
      <c r="A548" t="s">
        <v>547</v>
      </c>
      <c r="B548" s="1">
        <v>45859</v>
      </c>
      <c r="C548">
        <f t="shared" si="11"/>
        <v>2025</v>
      </c>
      <c r="D548" t="str">
        <f t="shared" si="13"/>
        <v>July</v>
      </c>
      <c r="E548" t="str">
        <f t="shared" si="12"/>
        <v>Week3</v>
      </c>
      <c r="F548" t="s">
        <v>1167</v>
      </c>
      <c r="G548" t="s">
        <v>1198</v>
      </c>
      <c r="H548">
        <v>5000</v>
      </c>
      <c r="I548" t="s">
        <v>1029</v>
      </c>
      <c r="J548" t="s">
        <v>1030</v>
      </c>
      <c r="K548" t="s">
        <v>1031</v>
      </c>
    </row>
    <row r="549" spans="1:11" x14ac:dyDescent="0.25">
      <c r="A549" t="s">
        <v>548</v>
      </c>
      <c r="B549" s="1">
        <v>45860</v>
      </c>
      <c r="C549">
        <f t="shared" si="11"/>
        <v>2025</v>
      </c>
      <c r="D549" t="str">
        <f t="shared" si="13"/>
        <v>July</v>
      </c>
      <c r="E549" t="str">
        <f t="shared" si="12"/>
        <v>Week4</v>
      </c>
      <c r="F549" t="s">
        <v>1168</v>
      </c>
      <c r="G549" t="s">
        <v>1012</v>
      </c>
      <c r="H549">
        <v>22000</v>
      </c>
      <c r="I549" t="s">
        <v>1027</v>
      </c>
      <c r="J549" t="s">
        <v>1030</v>
      </c>
      <c r="K549" t="s">
        <v>1031</v>
      </c>
    </row>
    <row r="550" spans="1:11" x14ac:dyDescent="0.25">
      <c r="A550" t="s">
        <v>549</v>
      </c>
      <c r="B550" s="1">
        <v>45860</v>
      </c>
      <c r="C550">
        <f t="shared" si="11"/>
        <v>2025</v>
      </c>
      <c r="D550" t="str">
        <f t="shared" si="13"/>
        <v>July</v>
      </c>
      <c r="E550" t="str">
        <f t="shared" si="12"/>
        <v>Week4</v>
      </c>
      <c r="F550" t="s">
        <v>1132</v>
      </c>
      <c r="G550" t="s">
        <v>1012</v>
      </c>
      <c r="H550">
        <v>10000</v>
      </c>
      <c r="I550" t="s">
        <v>1027</v>
      </c>
      <c r="J550" t="s">
        <v>1030</v>
      </c>
      <c r="K550" t="s">
        <v>1031</v>
      </c>
    </row>
    <row r="551" spans="1:11" x14ac:dyDescent="0.25">
      <c r="A551" t="s">
        <v>550</v>
      </c>
      <c r="B551" s="1">
        <v>45861</v>
      </c>
      <c r="C551">
        <f t="shared" si="11"/>
        <v>2025</v>
      </c>
      <c r="D551" t="str">
        <f t="shared" si="13"/>
        <v>July</v>
      </c>
      <c r="E551" t="str">
        <f t="shared" si="12"/>
        <v>Week4</v>
      </c>
      <c r="F551" t="s">
        <v>1169</v>
      </c>
      <c r="G551" t="s">
        <v>1012</v>
      </c>
      <c r="H551">
        <v>50500</v>
      </c>
      <c r="I551" t="s">
        <v>1027</v>
      </c>
      <c r="J551" t="s">
        <v>1030</v>
      </c>
      <c r="K551" t="s">
        <v>1031</v>
      </c>
    </row>
    <row r="552" spans="1:11" x14ac:dyDescent="0.25">
      <c r="A552" t="s">
        <v>551</v>
      </c>
      <c r="B552" s="1">
        <v>45861</v>
      </c>
      <c r="C552">
        <f t="shared" si="11"/>
        <v>2025</v>
      </c>
      <c r="D552" t="str">
        <f t="shared" si="13"/>
        <v>July</v>
      </c>
      <c r="E552" t="str">
        <f t="shared" si="12"/>
        <v>Week4</v>
      </c>
      <c r="F552" t="s">
        <v>1018</v>
      </c>
      <c r="G552" t="s">
        <v>1013</v>
      </c>
      <c r="H552">
        <v>5000</v>
      </c>
      <c r="I552" t="s">
        <v>1027</v>
      </c>
      <c r="J552" t="s">
        <v>1030</v>
      </c>
      <c r="K552" t="s">
        <v>1031</v>
      </c>
    </row>
    <row r="553" spans="1:11" x14ac:dyDescent="0.25">
      <c r="A553" t="s">
        <v>552</v>
      </c>
      <c r="B553" s="1">
        <v>45862</v>
      </c>
      <c r="C553">
        <f t="shared" si="11"/>
        <v>2025</v>
      </c>
      <c r="D553" t="str">
        <f t="shared" si="13"/>
        <v>July</v>
      </c>
      <c r="E553" t="str">
        <f t="shared" si="12"/>
        <v>Week4</v>
      </c>
      <c r="F553" t="s">
        <v>1035</v>
      </c>
      <c r="G553" t="s">
        <v>1197</v>
      </c>
      <c r="H553">
        <v>57600</v>
      </c>
      <c r="I553" t="s">
        <v>1027</v>
      </c>
      <c r="J553" t="s">
        <v>1030</v>
      </c>
      <c r="K553" t="s">
        <v>1031</v>
      </c>
    </row>
    <row r="554" spans="1:11" x14ac:dyDescent="0.25">
      <c r="A554" t="s">
        <v>553</v>
      </c>
      <c r="B554" s="1">
        <v>45853</v>
      </c>
      <c r="C554">
        <f t="shared" si="11"/>
        <v>2025</v>
      </c>
      <c r="D554" t="str">
        <f t="shared" si="13"/>
        <v>July</v>
      </c>
      <c r="E554" t="str">
        <f t="shared" si="12"/>
        <v>Week3</v>
      </c>
      <c r="F554" t="s">
        <v>1025</v>
      </c>
      <c r="G554" t="s">
        <v>1014</v>
      </c>
      <c r="H554">
        <v>10000</v>
      </c>
      <c r="I554" t="s">
        <v>1027</v>
      </c>
      <c r="J554" t="s">
        <v>1030</v>
      </c>
      <c r="K554" t="s">
        <v>1031</v>
      </c>
    </row>
    <row r="555" spans="1:11" x14ac:dyDescent="0.25">
      <c r="A555" t="s">
        <v>554</v>
      </c>
      <c r="B555" s="1">
        <v>45845</v>
      </c>
      <c r="C555">
        <f t="shared" si="11"/>
        <v>2025</v>
      </c>
      <c r="D555" t="str">
        <f t="shared" si="13"/>
        <v>July</v>
      </c>
      <c r="E555" t="str">
        <f t="shared" si="12"/>
        <v>Week1</v>
      </c>
      <c r="F555" t="s">
        <v>1170</v>
      </c>
      <c r="G555" t="s">
        <v>1198</v>
      </c>
      <c r="H555">
        <v>60000</v>
      </c>
      <c r="I555" t="s">
        <v>1027</v>
      </c>
      <c r="J555" t="s">
        <v>1030</v>
      </c>
      <c r="K555" t="s">
        <v>1031</v>
      </c>
    </row>
    <row r="556" spans="1:11" x14ac:dyDescent="0.25">
      <c r="A556" t="s">
        <v>555</v>
      </c>
      <c r="B556" s="1">
        <v>45842</v>
      </c>
      <c r="C556">
        <f t="shared" si="11"/>
        <v>2025</v>
      </c>
      <c r="D556" t="str">
        <f t="shared" si="13"/>
        <v>July</v>
      </c>
      <c r="E556" t="str">
        <f t="shared" si="12"/>
        <v>Week1</v>
      </c>
      <c r="F556" t="s">
        <v>1171</v>
      </c>
      <c r="G556" t="s">
        <v>1198</v>
      </c>
      <c r="H556">
        <v>20000</v>
      </c>
      <c r="I556" t="s">
        <v>1027</v>
      </c>
      <c r="J556" t="s">
        <v>1030</v>
      </c>
      <c r="K556" t="s">
        <v>1031</v>
      </c>
    </row>
    <row r="557" spans="1:11" x14ac:dyDescent="0.25">
      <c r="A557" t="s">
        <v>556</v>
      </c>
      <c r="B557" s="1">
        <v>45846</v>
      </c>
      <c r="C557">
        <f t="shared" si="11"/>
        <v>2025</v>
      </c>
      <c r="D557" t="str">
        <f t="shared" si="13"/>
        <v>July</v>
      </c>
      <c r="E557" t="str">
        <f t="shared" si="12"/>
        <v>Week2</v>
      </c>
      <c r="F557" t="s">
        <v>1172</v>
      </c>
      <c r="G557" t="s">
        <v>1010</v>
      </c>
      <c r="H557">
        <v>250000</v>
      </c>
      <c r="I557" t="s">
        <v>1027</v>
      </c>
      <c r="J557" t="s">
        <v>1030</v>
      </c>
      <c r="K557" t="s">
        <v>1031</v>
      </c>
    </row>
    <row r="558" spans="1:11" x14ac:dyDescent="0.25">
      <c r="A558" t="s">
        <v>557</v>
      </c>
      <c r="B558" s="1">
        <v>45848</v>
      </c>
      <c r="C558">
        <f t="shared" si="11"/>
        <v>2025</v>
      </c>
      <c r="D558" t="str">
        <f t="shared" si="13"/>
        <v>July</v>
      </c>
      <c r="E558" t="str">
        <f t="shared" si="12"/>
        <v>Week2</v>
      </c>
      <c r="F558" t="s">
        <v>1018</v>
      </c>
      <c r="G558" t="s">
        <v>1013</v>
      </c>
      <c r="H558">
        <v>5000</v>
      </c>
      <c r="I558" t="s">
        <v>1027</v>
      </c>
      <c r="J558" t="s">
        <v>1030</v>
      </c>
      <c r="K558" t="s">
        <v>1031</v>
      </c>
    </row>
    <row r="559" spans="1:11" x14ac:dyDescent="0.25">
      <c r="A559" t="s">
        <v>558</v>
      </c>
      <c r="B559" s="1">
        <v>45848</v>
      </c>
      <c r="C559">
        <f t="shared" si="11"/>
        <v>2025</v>
      </c>
      <c r="D559" t="str">
        <f t="shared" si="13"/>
        <v>July</v>
      </c>
      <c r="E559" t="str">
        <f t="shared" si="12"/>
        <v>Week2</v>
      </c>
      <c r="F559" t="s">
        <v>1173</v>
      </c>
      <c r="G559" t="s">
        <v>1012</v>
      </c>
      <c r="H559">
        <v>10000</v>
      </c>
      <c r="I559" t="s">
        <v>1029</v>
      </c>
      <c r="J559" t="s">
        <v>1030</v>
      </c>
      <c r="K559" t="s">
        <v>1031</v>
      </c>
    </row>
    <row r="560" spans="1:11" x14ac:dyDescent="0.25">
      <c r="A560" t="s">
        <v>559</v>
      </c>
      <c r="B560" s="1">
        <v>45852</v>
      </c>
      <c r="C560">
        <f t="shared" si="11"/>
        <v>2025</v>
      </c>
      <c r="D560" t="str">
        <f t="shared" si="13"/>
        <v>July</v>
      </c>
      <c r="E560" t="str">
        <f t="shared" si="12"/>
        <v>Week2</v>
      </c>
      <c r="F560" t="s">
        <v>1035</v>
      </c>
      <c r="G560" t="s">
        <v>1197</v>
      </c>
      <c r="H560">
        <v>13000</v>
      </c>
      <c r="I560" t="s">
        <v>1027</v>
      </c>
      <c r="J560" t="s">
        <v>1030</v>
      </c>
      <c r="K560" t="s">
        <v>1031</v>
      </c>
    </row>
    <row r="561" spans="1:11" x14ac:dyDescent="0.25">
      <c r="A561" t="s">
        <v>560</v>
      </c>
      <c r="B561" s="1">
        <v>45852</v>
      </c>
      <c r="C561">
        <f t="shared" si="11"/>
        <v>2025</v>
      </c>
      <c r="D561" t="str">
        <f t="shared" si="13"/>
        <v>July</v>
      </c>
      <c r="E561" t="str">
        <f t="shared" si="12"/>
        <v>Week2</v>
      </c>
      <c r="F561" t="s">
        <v>1174</v>
      </c>
      <c r="G561" t="s">
        <v>1014</v>
      </c>
      <c r="H561">
        <v>10000</v>
      </c>
      <c r="I561" t="s">
        <v>1028</v>
      </c>
      <c r="J561" t="s">
        <v>1030</v>
      </c>
      <c r="K561" t="s">
        <v>1031</v>
      </c>
    </row>
    <row r="562" spans="1:11" x14ac:dyDescent="0.25">
      <c r="A562" t="s">
        <v>561</v>
      </c>
      <c r="B562" s="1">
        <v>45866</v>
      </c>
      <c r="C562">
        <f t="shared" si="11"/>
        <v>2025</v>
      </c>
      <c r="D562" t="str">
        <f t="shared" si="13"/>
        <v>July</v>
      </c>
      <c r="E562" t="str">
        <f t="shared" si="12"/>
        <v>Week4</v>
      </c>
      <c r="F562" t="s">
        <v>1025</v>
      </c>
      <c r="G562" t="s">
        <v>1014</v>
      </c>
      <c r="H562">
        <v>5000</v>
      </c>
      <c r="I562" t="s">
        <v>1029</v>
      </c>
      <c r="J562" t="s">
        <v>1030</v>
      </c>
      <c r="K562" t="s">
        <v>1031</v>
      </c>
    </row>
    <row r="563" spans="1:11" x14ac:dyDescent="0.25">
      <c r="A563" t="s">
        <v>562</v>
      </c>
      <c r="B563" s="1">
        <v>45866</v>
      </c>
      <c r="C563">
        <f t="shared" si="11"/>
        <v>2025</v>
      </c>
      <c r="D563" t="str">
        <f t="shared" si="13"/>
        <v>July</v>
      </c>
      <c r="E563" t="str">
        <f t="shared" si="12"/>
        <v>Week4</v>
      </c>
      <c r="F563" t="s">
        <v>1018</v>
      </c>
      <c r="G563" t="s">
        <v>1013</v>
      </c>
      <c r="H563">
        <v>3000</v>
      </c>
      <c r="I563" t="s">
        <v>1027</v>
      </c>
      <c r="J563" t="s">
        <v>1030</v>
      </c>
      <c r="K563" t="s">
        <v>1031</v>
      </c>
    </row>
    <row r="564" spans="1:11" x14ac:dyDescent="0.25">
      <c r="A564" t="s">
        <v>563</v>
      </c>
      <c r="B564" s="1">
        <v>45867</v>
      </c>
      <c r="C564">
        <f t="shared" si="11"/>
        <v>2025</v>
      </c>
      <c r="D564" t="str">
        <f t="shared" si="13"/>
        <v>July</v>
      </c>
      <c r="E564" t="str">
        <f t="shared" si="12"/>
        <v>Week5</v>
      </c>
      <c r="F564" t="s">
        <v>1049</v>
      </c>
      <c r="G564" t="s">
        <v>1199</v>
      </c>
      <c r="H564">
        <v>20000</v>
      </c>
      <c r="I564" t="s">
        <v>1027</v>
      </c>
      <c r="J564" t="s">
        <v>1030</v>
      </c>
      <c r="K564" t="s">
        <v>1031</v>
      </c>
    </row>
    <row r="565" spans="1:11" x14ac:dyDescent="0.25">
      <c r="A565" t="s">
        <v>564</v>
      </c>
      <c r="B565" s="1">
        <v>45868</v>
      </c>
      <c r="C565">
        <f t="shared" si="11"/>
        <v>2025</v>
      </c>
      <c r="D565" t="str">
        <f t="shared" si="13"/>
        <v>July</v>
      </c>
      <c r="E565" t="str">
        <f t="shared" si="12"/>
        <v>Week5</v>
      </c>
      <c r="F565" t="s">
        <v>1175</v>
      </c>
      <c r="G565" t="s">
        <v>1198</v>
      </c>
      <c r="H565">
        <v>175000</v>
      </c>
      <c r="I565" t="s">
        <v>1027</v>
      </c>
      <c r="J565" t="s">
        <v>1030</v>
      </c>
      <c r="K565" t="s">
        <v>1031</v>
      </c>
    </row>
    <row r="566" spans="1:11" x14ac:dyDescent="0.25">
      <c r="A566" t="s">
        <v>565</v>
      </c>
      <c r="B566" s="1">
        <v>45869</v>
      </c>
      <c r="C566">
        <f t="shared" si="11"/>
        <v>2025</v>
      </c>
      <c r="D566" t="str">
        <f t="shared" si="13"/>
        <v>July</v>
      </c>
      <c r="E566" t="str">
        <f t="shared" si="12"/>
        <v>Week5</v>
      </c>
      <c r="F566" t="s">
        <v>1018</v>
      </c>
      <c r="G566" t="s">
        <v>1013</v>
      </c>
      <c r="H566">
        <v>5000</v>
      </c>
      <c r="I566" t="s">
        <v>1027</v>
      </c>
      <c r="J566" t="s">
        <v>1030</v>
      </c>
      <c r="K566" t="s">
        <v>1031</v>
      </c>
    </row>
    <row r="567" spans="1:11" x14ac:dyDescent="0.25">
      <c r="A567" t="s">
        <v>566</v>
      </c>
      <c r="B567" s="1">
        <v>45869</v>
      </c>
      <c r="C567">
        <f t="shared" si="11"/>
        <v>2025</v>
      </c>
      <c r="D567" t="str">
        <f t="shared" si="13"/>
        <v>July</v>
      </c>
      <c r="E567" t="str">
        <f t="shared" si="12"/>
        <v>Week5</v>
      </c>
      <c r="F567" t="s">
        <v>1046</v>
      </c>
      <c r="G567" t="s">
        <v>1014</v>
      </c>
      <c r="H567">
        <v>6000</v>
      </c>
      <c r="I567" t="s">
        <v>1027</v>
      </c>
      <c r="J567" t="s">
        <v>1030</v>
      </c>
      <c r="K567" t="s">
        <v>1031</v>
      </c>
    </row>
    <row r="568" spans="1:11" x14ac:dyDescent="0.25">
      <c r="A568" t="s">
        <v>567</v>
      </c>
      <c r="B568" s="1">
        <v>45842</v>
      </c>
      <c r="C568">
        <f t="shared" si="11"/>
        <v>2025</v>
      </c>
      <c r="D568" t="str">
        <f t="shared" si="13"/>
        <v>July</v>
      </c>
      <c r="E568" t="str">
        <f t="shared" si="12"/>
        <v>Week1</v>
      </c>
      <c r="F568" t="s">
        <v>1035</v>
      </c>
      <c r="G568" t="s">
        <v>1197</v>
      </c>
      <c r="H568">
        <v>13000</v>
      </c>
      <c r="I568" t="s">
        <v>1027</v>
      </c>
      <c r="J568" t="s">
        <v>1030</v>
      </c>
      <c r="K568" t="s">
        <v>1031</v>
      </c>
    </row>
    <row r="569" spans="1:11" x14ac:dyDescent="0.25">
      <c r="A569" t="s">
        <v>568</v>
      </c>
      <c r="B569" s="1">
        <v>45870</v>
      </c>
      <c r="C569">
        <f t="shared" si="11"/>
        <v>2025</v>
      </c>
      <c r="D569" t="str">
        <f t="shared" si="13"/>
        <v>August</v>
      </c>
      <c r="E569" t="str">
        <f t="shared" si="12"/>
        <v>Week1</v>
      </c>
      <c r="F569" t="s">
        <v>1037</v>
      </c>
      <c r="G569" t="s">
        <v>1199</v>
      </c>
      <c r="H569">
        <v>24000</v>
      </c>
      <c r="I569" t="s">
        <v>1027</v>
      </c>
      <c r="J569" t="s">
        <v>1030</v>
      </c>
      <c r="K569" t="s">
        <v>1031</v>
      </c>
    </row>
    <row r="570" spans="1:11" x14ac:dyDescent="0.25">
      <c r="A570" t="s">
        <v>569</v>
      </c>
      <c r="B570" s="1">
        <v>45873</v>
      </c>
      <c r="C570">
        <f t="shared" si="11"/>
        <v>2025</v>
      </c>
      <c r="D570" t="str">
        <f t="shared" si="13"/>
        <v>August</v>
      </c>
      <c r="E570" t="str">
        <f t="shared" si="12"/>
        <v>Week1</v>
      </c>
      <c r="F570" t="s">
        <v>1040</v>
      </c>
      <c r="G570" t="s">
        <v>1199</v>
      </c>
      <c r="H570">
        <v>24000</v>
      </c>
      <c r="I570" t="s">
        <v>1027</v>
      </c>
      <c r="J570" t="s">
        <v>1030</v>
      </c>
      <c r="K570" t="s">
        <v>1031</v>
      </c>
    </row>
    <row r="571" spans="1:11" x14ac:dyDescent="0.25">
      <c r="A571" t="s">
        <v>570</v>
      </c>
      <c r="B571" s="1">
        <v>45873</v>
      </c>
      <c r="C571">
        <f t="shared" si="11"/>
        <v>2025</v>
      </c>
      <c r="D571" t="str">
        <f t="shared" si="13"/>
        <v>August</v>
      </c>
      <c r="E571" t="str">
        <f t="shared" si="12"/>
        <v>Week1</v>
      </c>
      <c r="F571" t="s">
        <v>1035</v>
      </c>
      <c r="G571" t="s">
        <v>1197</v>
      </c>
      <c r="H571">
        <v>13000</v>
      </c>
      <c r="I571" t="s">
        <v>1027</v>
      </c>
      <c r="J571" t="s">
        <v>1030</v>
      </c>
      <c r="K571" t="s">
        <v>1031</v>
      </c>
    </row>
    <row r="572" spans="1:11" x14ac:dyDescent="0.25">
      <c r="A572" t="s">
        <v>571</v>
      </c>
      <c r="B572" s="1">
        <v>45874</v>
      </c>
      <c r="C572">
        <f t="shared" si="11"/>
        <v>2025</v>
      </c>
      <c r="D572" t="str">
        <f t="shared" si="13"/>
        <v>August</v>
      </c>
      <c r="E572" t="str">
        <f t="shared" si="12"/>
        <v>Week1</v>
      </c>
      <c r="F572" t="s">
        <v>1124</v>
      </c>
      <c r="G572" t="s">
        <v>1010</v>
      </c>
      <c r="H572">
        <v>12000</v>
      </c>
      <c r="I572" t="s">
        <v>1027</v>
      </c>
      <c r="J572" t="s">
        <v>1030</v>
      </c>
      <c r="K572" t="s">
        <v>1031</v>
      </c>
    </row>
    <row r="573" spans="1:11" x14ac:dyDescent="0.25">
      <c r="A573" t="s">
        <v>572</v>
      </c>
      <c r="B573" s="1">
        <v>45874</v>
      </c>
      <c r="C573">
        <f t="shared" si="11"/>
        <v>2025</v>
      </c>
      <c r="D573" t="str">
        <f t="shared" si="13"/>
        <v>August</v>
      </c>
      <c r="E573" t="str">
        <f t="shared" si="12"/>
        <v>Week1</v>
      </c>
      <c r="F573" t="s">
        <v>1176</v>
      </c>
      <c r="G573" t="s">
        <v>1012</v>
      </c>
      <c r="H573">
        <v>135000</v>
      </c>
      <c r="I573" t="s">
        <v>1027</v>
      </c>
      <c r="J573" t="s">
        <v>1030</v>
      </c>
      <c r="K573" t="s">
        <v>1031</v>
      </c>
    </row>
    <row r="574" spans="1:11" x14ac:dyDescent="0.25">
      <c r="A574" t="s">
        <v>573</v>
      </c>
      <c r="B574" s="1">
        <v>45875</v>
      </c>
      <c r="C574">
        <f t="shared" si="11"/>
        <v>2025</v>
      </c>
      <c r="D574" t="str">
        <f t="shared" si="13"/>
        <v>August</v>
      </c>
      <c r="E574" t="str">
        <f t="shared" si="12"/>
        <v>Week1</v>
      </c>
      <c r="F574" t="s">
        <v>1018</v>
      </c>
      <c r="G574" t="s">
        <v>1013</v>
      </c>
      <c r="H574">
        <v>4000</v>
      </c>
      <c r="I574" t="s">
        <v>1027</v>
      </c>
      <c r="J574" t="s">
        <v>1030</v>
      </c>
      <c r="K574" t="s">
        <v>1031</v>
      </c>
    </row>
    <row r="575" spans="1:11" x14ac:dyDescent="0.25">
      <c r="A575" t="s">
        <v>574</v>
      </c>
      <c r="B575" s="1">
        <v>45877</v>
      </c>
      <c r="C575">
        <f t="shared" si="11"/>
        <v>2025</v>
      </c>
      <c r="D575" t="str">
        <f t="shared" si="13"/>
        <v>August</v>
      </c>
      <c r="E575" t="str">
        <f t="shared" si="12"/>
        <v>Week2</v>
      </c>
      <c r="F575" t="s">
        <v>1124</v>
      </c>
      <c r="G575" t="s">
        <v>1010</v>
      </c>
      <c r="H575">
        <v>8000</v>
      </c>
      <c r="I575" t="s">
        <v>1027</v>
      </c>
      <c r="J575" t="s">
        <v>1030</v>
      </c>
      <c r="K575" t="s">
        <v>1031</v>
      </c>
    </row>
    <row r="576" spans="1:11" x14ac:dyDescent="0.25">
      <c r="A576" t="s">
        <v>575</v>
      </c>
      <c r="B576" s="1">
        <v>45877</v>
      </c>
      <c r="C576">
        <f t="shared" si="11"/>
        <v>2025</v>
      </c>
      <c r="D576" t="str">
        <f t="shared" si="13"/>
        <v>August</v>
      </c>
      <c r="E576" t="str">
        <f t="shared" si="12"/>
        <v>Week2</v>
      </c>
      <c r="F576" t="s">
        <v>1033</v>
      </c>
      <c r="G576" t="s">
        <v>1014</v>
      </c>
      <c r="H576">
        <v>123760</v>
      </c>
      <c r="I576" t="s">
        <v>1027</v>
      </c>
      <c r="J576" t="s">
        <v>1030</v>
      </c>
      <c r="K576" t="s">
        <v>1031</v>
      </c>
    </row>
    <row r="577" spans="1:11" x14ac:dyDescent="0.25">
      <c r="A577" t="s">
        <v>576</v>
      </c>
      <c r="B577" s="1">
        <v>45879</v>
      </c>
      <c r="C577">
        <f t="shared" si="11"/>
        <v>2025</v>
      </c>
      <c r="D577" t="str">
        <f t="shared" si="13"/>
        <v>August</v>
      </c>
      <c r="E577" t="str">
        <f t="shared" si="12"/>
        <v>Week2</v>
      </c>
      <c r="F577" t="s">
        <v>1102</v>
      </c>
      <c r="G577" t="s">
        <v>1011</v>
      </c>
      <c r="H577">
        <v>4700</v>
      </c>
      <c r="I577" t="s">
        <v>1027</v>
      </c>
      <c r="J577" t="s">
        <v>1030</v>
      </c>
      <c r="K577" t="s">
        <v>1031</v>
      </c>
    </row>
    <row r="578" spans="1:11" x14ac:dyDescent="0.25">
      <c r="A578" t="s">
        <v>577</v>
      </c>
      <c r="B578" s="1">
        <v>45880</v>
      </c>
      <c r="C578">
        <f t="shared" si="11"/>
        <v>2025</v>
      </c>
      <c r="D578" t="str">
        <f t="shared" si="13"/>
        <v>August</v>
      </c>
      <c r="E578" t="str">
        <f t="shared" si="12"/>
        <v>Week2</v>
      </c>
      <c r="F578" t="s">
        <v>1035</v>
      </c>
      <c r="G578" t="s">
        <v>1197</v>
      </c>
      <c r="H578">
        <v>13000</v>
      </c>
      <c r="I578" t="s">
        <v>1027</v>
      </c>
      <c r="J578" t="s">
        <v>1030</v>
      </c>
      <c r="K578" t="s">
        <v>1031</v>
      </c>
    </row>
    <row r="579" spans="1:11" x14ac:dyDescent="0.25">
      <c r="A579" t="s">
        <v>578</v>
      </c>
      <c r="B579" s="1">
        <v>45883</v>
      </c>
      <c r="C579">
        <f t="shared" si="11"/>
        <v>2025</v>
      </c>
      <c r="D579" t="str">
        <f t="shared" si="13"/>
        <v>August</v>
      </c>
      <c r="E579" t="str">
        <f t="shared" si="12"/>
        <v>Week2</v>
      </c>
      <c r="F579" t="s">
        <v>1102</v>
      </c>
      <c r="G579" t="s">
        <v>1011</v>
      </c>
      <c r="H579">
        <v>18000</v>
      </c>
      <c r="I579" t="s">
        <v>1028</v>
      </c>
      <c r="J579" t="s">
        <v>1030</v>
      </c>
      <c r="K579" t="s">
        <v>1031</v>
      </c>
    </row>
    <row r="580" spans="1:11" x14ac:dyDescent="0.25">
      <c r="A580" t="s">
        <v>579</v>
      </c>
      <c r="B580" s="1">
        <v>45883</v>
      </c>
      <c r="C580">
        <f t="shared" si="11"/>
        <v>2025</v>
      </c>
      <c r="D580" t="str">
        <f t="shared" si="13"/>
        <v>August</v>
      </c>
      <c r="E580" t="str">
        <f t="shared" si="12"/>
        <v>Week2</v>
      </c>
      <c r="F580" t="s">
        <v>1177</v>
      </c>
      <c r="G580" t="s">
        <v>1015</v>
      </c>
      <c r="H580">
        <v>5000</v>
      </c>
      <c r="I580" t="s">
        <v>1029</v>
      </c>
      <c r="J580" t="s">
        <v>1030</v>
      </c>
      <c r="K580" t="s">
        <v>1031</v>
      </c>
    </row>
    <row r="581" spans="1:11" x14ac:dyDescent="0.25">
      <c r="A581" t="s">
        <v>580</v>
      </c>
      <c r="B581" s="1">
        <v>45887</v>
      </c>
      <c r="C581">
        <f t="shared" si="11"/>
        <v>2025</v>
      </c>
      <c r="D581" t="str">
        <f t="shared" si="13"/>
        <v>August</v>
      </c>
      <c r="E581" t="str">
        <f t="shared" si="12"/>
        <v>Week3</v>
      </c>
      <c r="F581" t="s">
        <v>1018</v>
      </c>
      <c r="G581" t="s">
        <v>1013</v>
      </c>
      <c r="H581">
        <v>5000</v>
      </c>
      <c r="I581" t="s">
        <v>1027</v>
      </c>
      <c r="J581" t="s">
        <v>1030</v>
      </c>
      <c r="K581" t="s">
        <v>1031</v>
      </c>
    </row>
    <row r="582" spans="1:11" x14ac:dyDescent="0.25">
      <c r="A582" t="s">
        <v>581</v>
      </c>
      <c r="B582" s="1">
        <v>45887</v>
      </c>
      <c r="C582">
        <f t="shared" si="11"/>
        <v>2025</v>
      </c>
      <c r="D582" t="str">
        <f t="shared" si="13"/>
        <v>August</v>
      </c>
      <c r="E582" t="str">
        <f t="shared" si="12"/>
        <v>Week3</v>
      </c>
      <c r="F582" t="s">
        <v>1035</v>
      </c>
      <c r="G582" t="s">
        <v>1197</v>
      </c>
      <c r="H582">
        <v>13000</v>
      </c>
      <c r="I582" t="s">
        <v>1027</v>
      </c>
      <c r="J582" t="s">
        <v>1030</v>
      </c>
      <c r="K582" t="s">
        <v>1031</v>
      </c>
    </row>
    <row r="583" spans="1:11" x14ac:dyDescent="0.25">
      <c r="A583" t="s">
        <v>582</v>
      </c>
      <c r="B583" s="1">
        <v>45887</v>
      </c>
      <c r="C583">
        <f t="shared" si="11"/>
        <v>2025</v>
      </c>
      <c r="D583" t="str">
        <f t="shared" si="13"/>
        <v>August</v>
      </c>
      <c r="E583" t="str">
        <f t="shared" si="12"/>
        <v>Week3</v>
      </c>
      <c r="F583" t="s">
        <v>1046</v>
      </c>
      <c r="G583" t="s">
        <v>1014</v>
      </c>
      <c r="H583">
        <v>6000</v>
      </c>
      <c r="I583" t="s">
        <v>1029</v>
      </c>
      <c r="J583" t="s">
        <v>1030</v>
      </c>
      <c r="K583" t="s">
        <v>1031</v>
      </c>
    </row>
    <row r="584" spans="1:11" x14ac:dyDescent="0.25">
      <c r="A584" t="s">
        <v>583</v>
      </c>
      <c r="B584" s="1">
        <v>45888</v>
      </c>
      <c r="C584">
        <f t="shared" si="11"/>
        <v>2025</v>
      </c>
      <c r="D584" t="str">
        <f t="shared" si="13"/>
        <v>August</v>
      </c>
      <c r="E584" t="str">
        <f t="shared" si="12"/>
        <v>Week3</v>
      </c>
      <c r="F584" t="s">
        <v>1178</v>
      </c>
      <c r="G584" t="s">
        <v>1198</v>
      </c>
      <c r="H584">
        <v>18000</v>
      </c>
      <c r="I584" t="s">
        <v>1029</v>
      </c>
      <c r="J584" t="s">
        <v>1030</v>
      </c>
      <c r="K584" t="s">
        <v>1031</v>
      </c>
    </row>
    <row r="585" spans="1:11" x14ac:dyDescent="0.25">
      <c r="A585" t="s">
        <v>584</v>
      </c>
      <c r="B585" s="1">
        <v>45889</v>
      </c>
      <c r="C585">
        <f t="shared" si="11"/>
        <v>2025</v>
      </c>
      <c r="D585" t="str">
        <f t="shared" si="13"/>
        <v>August</v>
      </c>
      <c r="E585" t="str">
        <f t="shared" si="12"/>
        <v>Week3</v>
      </c>
      <c r="F585" t="s">
        <v>1179</v>
      </c>
      <c r="G585" t="s">
        <v>1198</v>
      </c>
      <c r="H585">
        <v>13000</v>
      </c>
      <c r="I585" t="s">
        <v>1027</v>
      </c>
      <c r="J585" t="s">
        <v>1030</v>
      </c>
      <c r="K585" t="s">
        <v>1031</v>
      </c>
    </row>
    <row r="586" spans="1:11" x14ac:dyDescent="0.25">
      <c r="A586" t="s">
        <v>585</v>
      </c>
      <c r="B586" s="1">
        <v>45894</v>
      </c>
      <c r="C586">
        <f t="shared" si="11"/>
        <v>2025</v>
      </c>
      <c r="D586" t="str">
        <f t="shared" si="13"/>
        <v>August</v>
      </c>
      <c r="E586" t="str">
        <f t="shared" si="12"/>
        <v>Week4</v>
      </c>
      <c r="F586" t="s">
        <v>1180</v>
      </c>
      <c r="G586" t="s">
        <v>1198</v>
      </c>
      <c r="H586">
        <v>5000</v>
      </c>
      <c r="I586" t="s">
        <v>1027</v>
      </c>
      <c r="J586" t="s">
        <v>1030</v>
      </c>
      <c r="K586" t="s">
        <v>1031</v>
      </c>
    </row>
    <row r="587" spans="1:11" x14ac:dyDescent="0.25">
      <c r="A587" t="s">
        <v>586</v>
      </c>
      <c r="B587" s="1">
        <v>45894</v>
      </c>
      <c r="C587">
        <f t="shared" si="11"/>
        <v>2025</v>
      </c>
      <c r="D587" t="str">
        <f t="shared" si="13"/>
        <v>August</v>
      </c>
      <c r="E587" t="str">
        <f t="shared" si="12"/>
        <v>Week4</v>
      </c>
      <c r="F587" t="s">
        <v>1124</v>
      </c>
      <c r="G587" t="s">
        <v>1010</v>
      </c>
      <c r="H587">
        <v>10000</v>
      </c>
      <c r="I587" t="s">
        <v>1029</v>
      </c>
      <c r="J587" t="s">
        <v>1030</v>
      </c>
      <c r="K587" t="s">
        <v>1031</v>
      </c>
    </row>
    <row r="588" spans="1:11" x14ac:dyDescent="0.25">
      <c r="A588" t="s">
        <v>587</v>
      </c>
      <c r="B588" s="1">
        <v>45896</v>
      </c>
      <c r="C588">
        <f t="shared" si="11"/>
        <v>2025</v>
      </c>
      <c r="D588" t="str">
        <f t="shared" si="13"/>
        <v>August</v>
      </c>
      <c r="E588" t="str">
        <f t="shared" si="12"/>
        <v>Week4</v>
      </c>
      <c r="F588" t="s">
        <v>1102</v>
      </c>
      <c r="G588" t="s">
        <v>1011</v>
      </c>
      <c r="H588">
        <v>22000</v>
      </c>
      <c r="I588" t="s">
        <v>1029</v>
      </c>
      <c r="J588" t="s">
        <v>1030</v>
      </c>
      <c r="K588" t="s">
        <v>1031</v>
      </c>
    </row>
    <row r="589" spans="1:11" x14ac:dyDescent="0.25">
      <c r="A589" t="s">
        <v>588</v>
      </c>
      <c r="B589" s="1">
        <v>45896</v>
      </c>
      <c r="C589">
        <f t="shared" si="11"/>
        <v>2025</v>
      </c>
      <c r="D589" t="str">
        <f t="shared" si="13"/>
        <v>August</v>
      </c>
      <c r="E589" t="str">
        <f t="shared" si="12"/>
        <v>Week4</v>
      </c>
      <c r="F589" t="s">
        <v>1025</v>
      </c>
      <c r="G589" t="s">
        <v>1014</v>
      </c>
      <c r="H589">
        <v>5000</v>
      </c>
      <c r="I589" t="s">
        <v>1027</v>
      </c>
      <c r="J589" t="s">
        <v>1030</v>
      </c>
      <c r="K589" t="s">
        <v>1031</v>
      </c>
    </row>
    <row r="590" spans="1:11" x14ac:dyDescent="0.25">
      <c r="A590" t="s">
        <v>589</v>
      </c>
      <c r="B590" s="1">
        <v>45898</v>
      </c>
      <c r="C590">
        <f t="shared" si="11"/>
        <v>2025</v>
      </c>
      <c r="D590" t="str">
        <f t="shared" si="13"/>
        <v>August</v>
      </c>
      <c r="E590" t="str">
        <f t="shared" si="12"/>
        <v>Week5</v>
      </c>
      <c r="F590" t="s">
        <v>1049</v>
      </c>
      <c r="G590" t="s">
        <v>1199</v>
      </c>
      <c r="H590">
        <v>20000</v>
      </c>
      <c r="I590" t="s">
        <v>1027</v>
      </c>
      <c r="J590" t="s">
        <v>1030</v>
      </c>
      <c r="K590" t="s">
        <v>1031</v>
      </c>
    </row>
    <row r="591" spans="1:11" x14ac:dyDescent="0.25">
      <c r="A591" t="s">
        <v>590</v>
      </c>
      <c r="B591" s="1">
        <v>45901</v>
      </c>
      <c r="C591">
        <f t="shared" si="11"/>
        <v>2025</v>
      </c>
      <c r="D591" t="str">
        <f t="shared" si="13"/>
        <v>September</v>
      </c>
      <c r="E591" t="str">
        <f t="shared" si="12"/>
        <v>Week1</v>
      </c>
      <c r="F591" t="s">
        <v>1119</v>
      </c>
      <c r="G591" t="s">
        <v>1011</v>
      </c>
      <c r="H591">
        <v>15000</v>
      </c>
      <c r="I591" t="s">
        <v>1027</v>
      </c>
      <c r="J591" t="s">
        <v>1030</v>
      </c>
      <c r="K591" t="s">
        <v>1031</v>
      </c>
    </row>
    <row r="592" spans="1:11" x14ac:dyDescent="0.25">
      <c r="A592" t="s">
        <v>591</v>
      </c>
      <c r="B592" s="1">
        <v>45901</v>
      </c>
      <c r="C592">
        <f t="shared" si="11"/>
        <v>2025</v>
      </c>
      <c r="D592" t="str">
        <f t="shared" si="13"/>
        <v>September</v>
      </c>
      <c r="E592" t="str">
        <f t="shared" si="12"/>
        <v>Week1</v>
      </c>
      <c r="F592" t="s">
        <v>1033</v>
      </c>
      <c r="G592" t="s">
        <v>1014</v>
      </c>
      <c r="H592">
        <v>125640</v>
      </c>
      <c r="I592" t="s">
        <v>1028</v>
      </c>
      <c r="J592" t="s">
        <v>1030</v>
      </c>
      <c r="K592" t="s">
        <v>1031</v>
      </c>
    </row>
    <row r="593" spans="1:11" x14ac:dyDescent="0.25">
      <c r="A593" t="s">
        <v>592</v>
      </c>
      <c r="B593" s="1">
        <v>45901</v>
      </c>
      <c r="C593">
        <f t="shared" si="11"/>
        <v>2025</v>
      </c>
      <c r="D593" t="str">
        <f t="shared" si="13"/>
        <v>September</v>
      </c>
      <c r="E593" t="str">
        <f t="shared" si="12"/>
        <v>Week1</v>
      </c>
      <c r="F593" t="s">
        <v>1035</v>
      </c>
      <c r="G593" t="s">
        <v>1197</v>
      </c>
      <c r="H593">
        <v>13000</v>
      </c>
      <c r="I593" t="s">
        <v>1027</v>
      </c>
      <c r="J593" t="s">
        <v>1030</v>
      </c>
      <c r="K593" t="s">
        <v>1031</v>
      </c>
    </row>
    <row r="594" spans="1:11" x14ac:dyDescent="0.25">
      <c r="A594" t="s">
        <v>593</v>
      </c>
      <c r="B594" s="1">
        <v>45901</v>
      </c>
      <c r="C594">
        <f t="shared" si="11"/>
        <v>2025</v>
      </c>
      <c r="D594" t="str">
        <f t="shared" si="13"/>
        <v>September</v>
      </c>
      <c r="E594" t="str">
        <f t="shared" si="12"/>
        <v>Week1</v>
      </c>
      <c r="F594" t="s">
        <v>1037</v>
      </c>
      <c r="G594" t="s">
        <v>1199</v>
      </c>
      <c r="H594">
        <v>24000</v>
      </c>
      <c r="I594" t="s">
        <v>1027</v>
      </c>
      <c r="J594" t="s">
        <v>1030</v>
      </c>
      <c r="K594" t="s">
        <v>1031</v>
      </c>
    </row>
    <row r="595" spans="1:11" x14ac:dyDescent="0.25">
      <c r="A595" t="s">
        <v>594</v>
      </c>
      <c r="B595" s="1">
        <v>45902</v>
      </c>
      <c r="C595">
        <f t="shared" si="11"/>
        <v>2025</v>
      </c>
      <c r="D595" t="str">
        <f t="shared" si="13"/>
        <v>September</v>
      </c>
      <c r="E595" t="str">
        <f t="shared" si="12"/>
        <v>Week1</v>
      </c>
      <c r="F595" t="s">
        <v>1040</v>
      </c>
      <c r="G595" t="s">
        <v>1199</v>
      </c>
      <c r="H595">
        <v>24000</v>
      </c>
      <c r="I595" t="s">
        <v>1027</v>
      </c>
      <c r="J595" t="s">
        <v>1030</v>
      </c>
      <c r="K595" t="s">
        <v>1031</v>
      </c>
    </row>
    <row r="596" spans="1:11" x14ac:dyDescent="0.25">
      <c r="A596" t="s">
        <v>595</v>
      </c>
      <c r="B596" s="1">
        <v>45904</v>
      </c>
      <c r="C596">
        <f t="shared" si="11"/>
        <v>2025</v>
      </c>
      <c r="D596" t="str">
        <f t="shared" si="13"/>
        <v>September</v>
      </c>
      <c r="E596" t="str">
        <f t="shared" si="12"/>
        <v>Week1</v>
      </c>
      <c r="F596" t="s">
        <v>1181</v>
      </c>
      <c r="G596" t="s">
        <v>1010</v>
      </c>
      <c r="H596">
        <v>5000</v>
      </c>
      <c r="I596" t="s">
        <v>1027</v>
      </c>
      <c r="J596" t="s">
        <v>1030</v>
      </c>
      <c r="K596" t="s">
        <v>1031</v>
      </c>
    </row>
    <row r="597" spans="1:11" x14ac:dyDescent="0.25">
      <c r="A597" t="s">
        <v>596</v>
      </c>
      <c r="B597" s="1">
        <v>45908</v>
      </c>
      <c r="C597">
        <f t="shared" si="11"/>
        <v>2025</v>
      </c>
      <c r="D597" t="str">
        <f t="shared" si="13"/>
        <v>September</v>
      </c>
      <c r="E597" t="str">
        <f t="shared" si="12"/>
        <v>Week2</v>
      </c>
      <c r="F597" t="s">
        <v>1035</v>
      </c>
      <c r="G597" t="s">
        <v>1197</v>
      </c>
      <c r="H597">
        <v>13000</v>
      </c>
      <c r="I597" t="s">
        <v>1027</v>
      </c>
      <c r="J597" t="s">
        <v>1030</v>
      </c>
      <c r="K597" t="s">
        <v>1031</v>
      </c>
    </row>
    <row r="598" spans="1:11" x14ac:dyDescent="0.25">
      <c r="A598" t="s">
        <v>597</v>
      </c>
      <c r="B598" s="1">
        <v>45908</v>
      </c>
      <c r="C598">
        <f t="shared" si="11"/>
        <v>2025</v>
      </c>
      <c r="D598" t="str">
        <f t="shared" si="13"/>
        <v>September</v>
      </c>
      <c r="E598" t="str">
        <f t="shared" si="12"/>
        <v>Week2</v>
      </c>
      <c r="F598" t="s">
        <v>1046</v>
      </c>
      <c r="G598" t="s">
        <v>1014</v>
      </c>
      <c r="H598">
        <v>6000</v>
      </c>
      <c r="I598" t="s">
        <v>1027</v>
      </c>
      <c r="J598" t="s">
        <v>1030</v>
      </c>
      <c r="K598" t="s">
        <v>1031</v>
      </c>
    </row>
    <row r="599" spans="1:11" x14ac:dyDescent="0.25">
      <c r="A599" t="s">
        <v>598</v>
      </c>
      <c r="B599" s="1">
        <v>45908</v>
      </c>
      <c r="C599">
        <f t="shared" si="11"/>
        <v>2025</v>
      </c>
      <c r="D599" t="str">
        <f t="shared" si="13"/>
        <v>September</v>
      </c>
      <c r="E599" t="str">
        <f t="shared" si="12"/>
        <v>Week2</v>
      </c>
      <c r="F599" t="s">
        <v>1182</v>
      </c>
      <c r="G599" t="s">
        <v>1198</v>
      </c>
      <c r="H599">
        <v>3000</v>
      </c>
      <c r="I599" t="s">
        <v>1027</v>
      </c>
      <c r="J599" t="s">
        <v>1030</v>
      </c>
      <c r="K599" t="s">
        <v>1031</v>
      </c>
    </row>
    <row r="600" spans="1:11" x14ac:dyDescent="0.25">
      <c r="A600" t="s">
        <v>599</v>
      </c>
      <c r="B600" s="1">
        <v>45914</v>
      </c>
      <c r="C600">
        <f t="shared" si="11"/>
        <v>2025</v>
      </c>
      <c r="D600" t="str">
        <f t="shared" si="13"/>
        <v>September</v>
      </c>
      <c r="E600" t="str">
        <f t="shared" si="12"/>
        <v>Week2</v>
      </c>
      <c r="F600" t="s">
        <v>1018</v>
      </c>
      <c r="G600" t="s">
        <v>1013</v>
      </c>
      <c r="H600">
        <v>4000</v>
      </c>
      <c r="I600" t="s">
        <v>1027</v>
      </c>
      <c r="J600" t="s">
        <v>1030</v>
      </c>
      <c r="K600" t="s">
        <v>1031</v>
      </c>
    </row>
    <row r="601" spans="1:11" x14ac:dyDescent="0.25">
      <c r="A601" t="s">
        <v>600</v>
      </c>
      <c r="B601" s="1">
        <v>45915</v>
      </c>
      <c r="C601">
        <f t="shared" si="11"/>
        <v>2025</v>
      </c>
      <c r="D601" t="str">
        <f t="shared" si="13"/>
        <v>September</v>
      </c>
      <c r="E601" t="str">
        <f t="shared" si="12"/>
        <v>Week3</v>
      </c>
      <c r="F601" t="s">
        <v>1035</v>
      </c>
      <c r="G601" t="s">
        <v>1197</v>
      </c>
      <c r="H601">
        <v>13000</v>
      </c>
      <c r="I601" t="s">
        <v>1027</v>
      </c>
      <c r="J601" t="s">
        <v>1030</v>
      </c>
      <c r="K601" t="s">
        <v>1031</v>
      </c>
    </row>
    <row r="602" spans="1:11" x14ac:dyDescent="0.25">
      <c r="A602" t="s">
        <v>601</v>
      </c>
      <c r="B602" s="1">
        <v>45916</v>
      </c>
      <c r="C602">
        <f t="shared" si="11"/>
        <v>2025</v>
      </c>
      <c r="D602" t="str">
        <f t="shared" si="13"/>
        <v>September</v>
      </c>
      <c r="E602" t="str">
        <f t="shared" si="12"/>
        <v>Week3</v>
      </c>
      <c r="F602" t="s">
        <v>1124</v>
      </c>
      <c r="G602" t="s">
        <v>1010</v>
      </c>
      <c r="H602">
        <v>15000</v>
      </c>
      <c r="I602" t="s">
        <v>1029</v>
      </c>
      <c r="J602" t="s">
        <v>1030</v>
      </c>
      <c r="K602" t="s">
        <v>1031</v>
      </c>
    </row>
    <row r="603" spans="1:11" x14ac:dyDescent="0.25">
      <c r="A603" t="s">
        <v>602</v>
      </c>
      <c r="B603" s="1">
        <v>45917</v>
      </c>
      <c r="C603">
        <f t="shared" si="11"/>
        <v>2025</v>
      </c>
      <c r="D603" t="str">
        <f t="shared" si="13"/>
        <v>September</v>
      </c>
      <c r="E603" t="str">
        <f t="shared" si="12"/>
        <v>Week3</v>
      </c>
      <c r="F603" t="s">
        <v>1018</v>
      </c>
      <c r="G603" t="s">
        <v>1013</v>
      </c>
      <c r="H603">
        <v>5000</v>
      </c>
      <c r="I603" t="s">
        <v>1027</v>
      </c>
      <c r="J603" t="s">
        <v>1030</v>
      </c>
      <c r="K603" t="s">
        <v>1031</v>
      </c>
    </row>
    <row r="604" spans="1:11" x14ac:dyDescent="0.25">
      <c r="A604" t="s">
        <v>603</v>
      </c>
      <c r="B604" s="1">
        <v>45903</v>
      </c>
      <c r="C604">
        <f t="shared" si="11"/>
        <v>2025</v>
      </c>
      <c r="D604" t="str">
        <f t="shared" si="13"/>
        <v>September</v>
      </c>
      <c r="E604" t="str">
        <f t="shared" si="12"/>
        <v>Week1</v>
      </c>
      <c r="F604" t="s">
        <v>1025</v>
      </c>
      <c r="G604" t="s">
        <v>1014</v>
      </c>
      <c r="H604">
        <v>10000</v>
      </c>
      <c r="I604" t="s">
        <v>1027</v>
      </c>
      <c r="J604" t="s">
        <v>1030</v>
      </c>
      <c r="K604" t="s">
        <v>1031</v>
      </c>
    </row>
    <row r="605" spans="1:11" x14ac:dyDescent="0.25">
      <c r="A605" t="s">
        <v>604</v>
      </c>
      <c r="B605" s="1">
        <v>45922</v>
      </c>
      <c r="C605">
        <f t="shared" si="11"/>
        <v>2025</v>
      </c>
      <c r="D605" t="str">
        <f t="shared" si="13"/>
        <v>September</v>
      </c>
      <c r="E605" t="str">
        <f t="shared" si="12"/>
        <v>Week4</v>
      </c>
      <c r="F605" t="s">
        <v>1035</v>
      </c>
      <c r="G605" t="s">
        <v>1197</v>
      </c>
      <c r="H605">
        <v>13000</v>
      </c>
      <c r="I605" t="s">
        <v>1027</v>
      </c>
      <c r="J605" t="s">
        <v>1030</v>
      </c>
      <c r="K605" t="s">
        <v>1031</v>
      </c>
    </row>
    <row r="606" spans="1:11" x14ac:dyDescent="0.25">
      <c r="A606" t="s">
        <v>605</v>
      </c>
      <c r="B606" s="1">
        <v>45923</v>
      </c>
      <c r="C606">
        <f t="shared" si="11"/>
        <v>2025</v>
      </c>
      <c r="D606" t="str">
        <f t="shared" si="13"/>
        <v>September</v>
      </c>
      <c r="E606" t="str">
        <f t="shared" si="12"/>
        <v>Week4</v>
      </c>
      <c r="F606" t="s">
        <v>1046</v>
      </c>
      <c r="G606" t="s">
        <v>1014</v>
      </c>
      <c r="H606">
        <v>6000</v>
      </c>
      <c r="I606" t="s">
        <v>1027</v>
      </c>
      <c r="J606" t="s">
        <v>1030</v>
      </c>
      <c r="K606" t="s">
        <v>1031</v>
      </c>
    </row>
    <row r="607" spans="1:11" x14ac:dyDescent="0.25">
      <c r="A607" t="s">
        <v>606</v>
      </c>
      <c r="B607" s="1">
        <v>45923</v>
      </c>
      <c r="C607">
        <f t="shared" si="11"/>
        <v>2025</v>
      </c>
      <c r="D607" t="str">
        <f t="shared" si="13"/>
        <v>September</v>
      </c>
      <c r="E607" t="str">
        <f t="shared" si="12"/>
        <v>Week4</v>
      </c>
      <c r="F607" t="s">
        <v>1124</v>
      </c>
      <c r="G607" t="s">
        <v>1010</v>
      </c>
      <c r="H607">
        <v>15000</v>
      </c>
      <c r="I607" t="s">
        <v>1028</v>
      </c>
      <c r="J607" t="s">
        <v>1030</v>
      </c>
      <c r="K607" t="s">
        <v>1031</v>
      </c>
    </row>
    <row r="608" spans="1:11" x14ac:dyDescent="0.25">
      <c r="A608" t="s">
        <v>607</v>
      </c>
      <c r="B608" s="1">
        <v>45924</v>
      </c>
      <c r="C608">
        <f t="shared" si="11"/>
        <v>2025</v>
      </c>
      <c r="D608" t="str">
        <f t="shared" si="13"/>
        <v>September</v>
      </c>
      <c r="E608" t="str">
        <f t="shared" si="12"/>
        <v>Week4</v>
      </c>
      <c r="F608" t="s">
        <v>1183</v>
      </c>
      <c r="G608" t="s">
        <v>1010</v>
      </c>
      <c r="H608">
        <v>5000</v>
      </c>
      <c r="I608" t="s">
        <v>1027</v>
      </c>
      <c r="J608" t="s">
        <v>1030</v>
      </c>
      <c r="K608" t="s">
        <v>1031</v>
      </c>
    </row>
    <row r="609" spans="1:11" x14ac:dyDescent="0.25">
      <c r="A609" t="s">
        <v>608</v>
      </c>
      <c r="B609" s="1">
        <v>45924</v>
      </c>
      <c r="C609">
        <f t="shared" si="11"/>
        <v>2025</v>
      </c>
      <c r="D609" t="str">
        <f t="shared" si="13"/>
        <v>September</v>
      </c>
      <c r="E609" t="str">
        <f t="shared" si="12"/>
        <v>Week4</v>
      </c>
      <c r="F609" t="s">
        <v>1070</v>
      </c>
      <c r="G609" t="s">
        <v>1010</v>
      </c>
      <c r="H609">
        <v>12000</v>
      </c>
      <c r="I609" t="s">
        <v>1027</v>
      </c>
      <c r="J609" t="s">
        <v>1030</v>
      </c>
      <c r="K609" t="s">
        <v>1031</v>
      </c>
    </row>
    <row r="610" spans="1:11" x14ac:dyDescent="0.25">
      <c r="A610" t="s">
        <v>609</v>
      </c>
      <c r="B610" s="1">
        <v>45929</v>
      </c>
      <c r="C610">
        <f t="shared" si="11"/>
        <v>2025</v>
      </c>
      <c r="D610" t="str">
        <f t="shared" si="13"/>
        <v>September</v>
      </c>
      <c r="E610" t="str">
        <f t="shared" si="12"/>
        <v>Week5</v>
      </c>
      <c r="F610" t="s">
        <v>1035</v>
      </c>
      <c r="G610" t="s">
        <v>1197</v>
      </c>
      <c r="H610">
        <v>13000</v>
      </c>
      <c r="I610" t="s">
        <v>1027</v>
      </c>
      <c r="J610" t="s">
        <v>1030</v>
      </c>
      <c r="K610" t="s">
        <v>1031</v>
      </c>
    </row>
    <row r="611" spans="1:11" x14ac:dyDescent="0.25">
      <c r="A611" t="s">
        <v>610</v>
      </c>
      <c r="B611" s="1">
        <v>45930</v>
      </c>
      <c r="C611">
        <f t="shared" si="11"/>
        <v>2025</v>
      </c>
      <c r="D611" t="str">
        <f t="shared" si="13"/>
        <v>September</v>
      </c>
      <c r="E611" t="str">
        <f t="shared" si="12"/>
        <v>Week5</v>
      </c>
      <c r="F611" t="s">
        <v>1025</v>
      </c>
      <c r="G611" t="s">
        <v>1014</v>
      </c>
      <c r="H611">
        <v>5000</v>
      </c>
      <c r="I611" t="s">
        <v>1027</v>
      </c>
      <c r="J611" t="s">
        <v>1030</v>
      </c>
      <c r="K611" t="s">
        <v>1031</v>
      </c>
    </row>
    <row r="612" spans="1:11" x14ac:dyDescent="0.25">
      <c r="A612" t="s">
        <v>611</v>
      </c>
      <c r="B612" s="1">
        <v>45929</v>
      </c>
      <c r="C612">
        <f t="shared" si="11"/>
        <v>2025</v>
      </c>
      <c r="D612" t="str">
        <f t="shared" si="13"/>
        <v>September</v>
      </c>
      <c r="E612" t="str">
        <f t="shared" si="12"/>
        <v>Week5</v>
      </c>
      <c r="F612" t="s">
        <v>1049</v>
      </c>
      <c r="G612" t="s">
        <v>1199</v>
      </c>
      <c r="H612">
        <v>20000</v>
      </c>
      <c r="I612" t="s">
        <v>1027</v>
      </c>
      <c r="J612" t="s">
        <v>1030</v>
      </c>
      <c r="K612" t="s">
        <v>1031</v>
      </c>
    </row>
    <row r="613" spans="1:11" x14ac:dyDescent="0.25">
      <c r="A613" t="s">
        <v>612</v>
      </c>
      <c r="B613" s="1">
        <v>45930</v>
      </c>
      <c r="C613">
        <f t="shared" si="11"/>
        <v>2025</v>
      </c>
      <c r="D613" t="str">
        <f t="shared" si="13"/>
        <v>September</v>
      </c>
      <c r="E613" t="str">
        <f t="shared" si="12"/>
        <v>Week5</v>
      </c>
      <c r="F613" t="s">
        <v>1102</v>
      </c>
      <c r="G613" t="s">
        <v>1011</v>
      </c>
      <c r="H613">
        <v>22000</v>
      </c>
      <c r="I613" t="s">
        <v>1028</v>
      </c>
      <c r="J613" t="s">
        <v>1030</v>
      </c>
      <c r="K613" t="s">
        <v>1031</v>
      </c>
    </row>
    <row r="614" spans="1:11" x14ac:dyDescent="0.25">
      <c r="A614" t="s">
        <v>613</v>
      </c>
      <c r="B614" s="1">
        <v>45932</v>
      </c>
      <c r="C614">
        <f t="shared" si="11"/>
        <v>2025</v>
      </c>
      <c r="D614" t="str">
        <f t="shared" si="13"/>
        <v>October</v>
      </c>
      <c r="E614" t="str">
        <f t="shared" si="12"/>
        <v>Week1</v>
      </c>
      <c r="F614" t="s">
        <v>1037</v>
      </c>
      <c r="G614" t="s">
        <v>1199</v>
      </c>
      <c r="H614">
        <v>24000</v>
      </c>
      <c r="I614" t="s">
        <v>1027</v>
      </c>
      <c r="J614" t="s">
        <v>1030</v>
      </c>
      <c r="K614" t="s">
        <v>1031</v>
      </c>
    </row>
    <row r="615" spans="1:11" x14ac:dyDescent="0.25">
      <c r="A615" t="s">
        <v>614</v>
      </c>
      <c r="B615" s="1">
        <v>45933</v>
      </c>
      <c r="C615">
        <f t="shared" si="11"/>
        <v>2025</v>
      </c>
      <c r="D615" t="str">
        <f t="shared" si="13"/>
        <v>October</v>
      </c>
      <c r="E615" t="str">
        <f t="shared" si="12"/>
        <v>Week1</v>
      </c>
      <c r="F615" t="s">
        <v>1018</v>
      </c>
      <c r="G615" t="s">
        <v>1013</v>
      </c>
      <c r="H615">
        <v>4000</v>
      </c>
      <c r="I615" t="s">
        <v>1027</v>
      </c>
      <c r="J615" t="s">
        <v>1030</v>
      </c>
      <c r="K615" t="s">
        <v>1031</v>
      </c>
    </row>
    <row r="616" spans="1:11" x14ac:dyDescent="0.25">
      <c r="A616" t="s">
        <v>615</v>
      </c>
      <c r="B616" s="1">
        <v>45934</v>
      </c>
      <c r="C616">
        <f t="shared" si="11"/>
        <v>2025</v>
      </c>
      <c r="D616" t="str">
        <f t="shared" si="13"/>
        <v>October</v>
      </c>
      <c r="E616" t="str">
        <f t="shared" si="12"/>
        <v>Week1</v>
      </c>
      <c r="F616" t="s">
        <v>1102</v>
      </c>
      <c r="G616" t="s">
        <v>1011</v>
      </c>
      <c r="H616">
        <v>22000</v>
      </c>
      <c r="I616" t="s">
        <v>1027</v>
      </c>
      <c r="J616" t="s">
        <v>1030</v>
      </c>
      <c r="K616" t="s">
        <v>1031</v>
      </c>
    </row>
    <row r="617" spans="1:11" x14ac:dyDescent="0.25">
      <c r="A617" t="s">
        <v>616</v>
      </c>
      <c r="B617" s="1">
        <v>45936</v>
      </c>
      <c r="C617">
        <f t="shared" si="11"/>
        <v>2025</v>
      </c>
      <c r="D617" t="str">
        <f t="shared" si="13"/>
        <v>October</v>
      </c>
      <c r="E617" t="str">
        <f t="shared" si="12"/>
        <v>Week1</v>
      </c>
      <c r="F617" t="s">
        <v>1040</v>
      </c>
      <c r="G617" t="s">
        <v>1199</v>
      </c>
      <c r="H617">
        <v>24000</v>
      </c>
      <c r="I617" t="s">
        <v>1027</v>
      </c>
      <c r="J617" t="s">
        <v>1030</v>
      </c>
      <c r="K617" t="s">
        <v>1031</v>
      </c>
    </row>
    <row r="618" spans="1:11" x14ac:dyDescent="0.25">
      <c r="A618" t="s">
        <v>617</v>
      </c>
      <c r="B618" s="1">
        <v>45929</v>
      </c>
      <c r="C618">
        <f t="shared" si="11"/>
        <v>2025</v>
      </c>
      <c r="D618" t="str">
        <f t="shared" si="13"/>
        <v>September</v>
      </c>
      <c r="E618" t="str">
        <f t="shared" si="12"/>
        <v>Week5</v>
      </c>
      <c r="F618" t="s">
        <v>1102</v>
      </c>
      <c r="G618" t="s">
        <v>1011</v>
      </c>
      <c r="H618">
        <v>22000</v>
      </c>
      <c r="I618" t="s">
        <v>1027</v>
      </c>
      <c r="J618" t="s">
        <v>1030</v>
      </c>
      <c r="K618" t="s">
        <v>1031</v>
      </c>
    </row>
    <row r="619" spans="1:11" x14ac:dyDescent="0.25">
      <c r="A619" t="s">
        <v>618</v>
      </c>
      <c r="B619" s="1">
        <v>45936</v>
      </c>
      <c r="C619">
        <f t="shared" si="11"/>
        <v>2025</v>
      </c>
      <c r="D619" t="str">
        <f t="shared" si="13"/>
        <v>October</v>
      </c>
      <c r="E619" t="str">
        <f t="shared" si="12"/>
        <v>Week1</v>
      </c>
      <c r="F619" t="s">
        <v>1033</v>
      </c>
      <c r="G619" t="s">
        <v>1014</v>
      </c>
      <c r="H619">
        <v>124330</v>
      </c>
      <c r="I619" t="s">
        <v>1028</v>
      </c>
      <c r="J619" t="s">
        <v>1030</v>
      </c>
      <c r="K619" t="s">
        <v>1031</v>
      </c>
    </row>
    <row r="620" spans="1:11" x14ac:dyDescent="0.25">
      <c r="A620" t="s">
        <v>619</v>
      </c>
      <c r="B620" s="1">
        <v>45936</v>
      </c>
      <c r="C620">
        <f t="shared" si="11"/>
        <v>2025</v>
      </c>
      <c r="D620" t="str">
        <f t="shared" si="13"/>
        <v>October</v>
      </c>
      <c r="E620" t="str">
        <f t="shared" si="12"/>
        <v>Week1</v>
      </c>
      <c r="F620" t="s">
        <v>1035</v>
      </c>
      <c r="G620" t="s">
        <v>1197</v>
      </c>
      <c r="H620">
        <v>13000</v>
      </c>
      <c r="I620" t="s">
        <v>1027</v>
      </c>
      <c r="J620" t="s">
        <v>1030</v>
      </c>
      <c r="K620" t="s">
        <v>1031</v>
      </c>
    </row>
    <row r="621" spans="1:11" x14ac:dyDescent="0.25">
      <c r="A621" t="s">
        <v>620</v>
      </c>
      <c r="B621" s="1">
        <v>45937</v>
      </c>
      <c r="C621">
        <f t="shared" si="11"/>
        <v>2025</v>
      </c>
      <c r="D621" t="str">
        <f t="shared" si="13"/>
        <v>October</v>
      </c>
      <c r="E621" t="str">
        <f t="shared" si="12"/>
        <v>Week1</v>
      </c>
      <c r="F621" t="s">
        <v>1102</v>
      </c>
      <c r="G621" t="s">
        <v>1011</v>
      </c>
      <c r="H621">
        <v>22000</v>
      </c>
      <c r="I621" t="s">
        <v>1027</v>
      </c>
      <c r="J621" t="s">
        <v>1030</v>
      </c>
      <c r="K621" t="s">
        <v>1031</v>
      </c>
    </row>
    <row r="622" spans="1:11" x14ac:dyDescent="0.25">
      <c r="A622" t="s">
        <v>621</v>
      </c>
      <c r="B622" s="1">
        <v>45939</v>
      </c>
      <c r="C622">
        <f t="shared" si="11"/>
        <v>2025</v>
      </c>
      <c r="D622" t="str">
        <f t="shared" si="13"/>
        <v>October</v>
      </c>
      <c r="E622" t="str">
        <f t="shared" si="12"/>
        <v>Week2</v>
      </c>
      <c r="F622" t="s">
        <v>1018</v>
      </c>
      <c r="G622" t="s">
        <v>1013</v>
      </c>
      <c r="H622">
        <v>5000</v>
      </c>
      <c r="I622" t="s">
        <v>1027</v>
      </c>
      <c r="J622" t="s">
        <v>1030</v>
      </c>
      <c r="K622" t="s">
        <v>1031</v>
      </c>
    </row>
    <row r="623" spans="1:11" x14ac:dyDescent="0.25">
      <c r="A623" t="s">
        <v>622</v>
      </c>
      <c r="B623" s="1">
        <v>45940</v>
      </c>
      <c r="C623">
        <f t="shared" si="11"/>
        <v>2025</v>
      </c>
      <c r="D623" t="str">
        <f t="shared" si="13"/>
        <v>October</v>
      </c>
      <c r="E623" t="str">
        <f t="shared" si="12"/>
        <v>Week2</v>
      </c>
      <c r="F623" t="s">
        <v>1124</v>
      </c>
      <c r="G623" t="s">
        <v>1010</v>
      </c>
      <c r="H623">
        <v>13000</v>
      </c>
      <c r="I623" t="s">
        <v>1029</v>
      </c>
      <c r="J623" t="s">
        <v>1030</v>
      </c>
      <c r="K623" t="s">
        <v>1031</v>
      </c>
    </row>
    <row r="624" spans="1:11" x14ac:dyDescent="0.25">
      <c r="A624" t="s">
        <v>623</v>
      </c>
      <c r="B624" s="1">
        <v>45943</v>
      </c>
      <c r="C624">
        <f t="shared" si="11"/>
        <v>2025</v>
      </c>
      <c r="D624" t="str">
        <f t="shared" si="13"/>
        <v>October</v>
      </c>
      <c r="E624" t="str">
        <f t="shared" si="12"/>
        <v>Week2</v>
      </c>
      <c r="F624" t="s">
        <v>1035</v>
      </c>
      <c r="G624" t="s">
        <v>1197</v>
      </c>
      <c r="H624">
        <v>76800</v>
      </c>
      <c r="I624" t="s">
        <v>1027</v>
      </c>
      <c r="J624" t="s">
        <v>1030</v>
      </c>
      <c r="K624" t="s">
        <v>1031</v>
      </c>
    </row>
    <row r="625" spans="1:11" x14ac:dyDescent="0.25">
      <c r="A625" t="s">
        <v>624</v>
      </c>
      <c r="B625" s="1">
        <v>45947</v>
      </c>
      <c r="C625">
        <f t="shared" si="11"/>
        <v>2025</v>
      </c>
      <c r="D625" t="str">
        <f t="shared" si="13"/>
        <v>October</v>
      </c>
      <c r="E625" t="str">
        <f t="shared" si="12"/>
        <v>Week3</v>
      </c>
      <c r="F625" t="s">
        <v>1018</v>
      </c>
      <c r="G625" t="s">
        <v>1013</v>
      </c>
      <c r="H625">
        <v>15000</v>
      </c>
      <c r="I625" t="s">
        <v>1027</v>
      </c>
      <c r="J625" t="s">
        <v>1030</v>
      </c>
      <c r="K625" t="s">
        <v>1031</v>
      </c>
    </row>
    <row r="626" spans="1:11" x14ac:dyDescent="0.25">
      <c r="A626" t="s">
        <v>625</v>
      </c>
      <c r="B626" s="1">
        <v>45950</v>
      </c>
      <c r="C626">
        <f t="shared" si="11"/>
        <v>2025</v>
      </c>
      <c r="D626" t="str">
        <f t="shared" si="13"/>
        <v>October</v>
      </c>
      <c r="E626" t="str">
        <f t="shared" si="12"/>
        <v>Week3</v>
      </c>
      <c r="F626" t="s">
        <v>1046</v>
      </c>
      <c r="G626" t="s">
        <v>1014</v>
      </c>
      <c r="H626">
        <v>6000</v>
      </c>
      <c r="I626" t="s">
        <v>1029</v>
      </c>
      <c r="J626" t="s">
        <v>1030</v>
      </c>
      <c r="K626" t="s">
        <v>1031</v>
      </c>
    </row>
    <row r="627" spans="1:11" x14ac:dyDescent="0.25">
      <c r="A627" t="s">
        <v>626</v>
      </c>
      <c r="B627" s="1">
        <v>45951</v>
      </c>
      <c r="C627">
        <f t="shared" si="11"/>
        <v>2025</v>
      </c>
      <c r="D627" t="str">
        <f t="shared" si="13"/>
        <v>October</v>
      </c>
      <c r="E627" t="str">
        <f t="shared" si="12"/>
        <v>Week3</v>
      </c>
      <c r="F627" t="s">
        <v>1041</v>
      </c>
      <c r="G627" t="s">
        <v>1010</v>
      </c>
      <c r="H627">
        <v>2000</v>
      </c>
      <c r="I627" t="s">
        <v>1029</v>
      </c>
      <c r="J627" t="s">
        <v>1030</v>
      </c>
      <c r="K627" t="s">
        <v>1031</v>
      </c>
    </row>
    <row r="628" spans="1:11" x14ac:dyDescent="0.25">
      <c r="A628" t="s">
        <v>627</v>
      </c>
      <c r="B628" s="1">
        <v>45952</v>
      </c>
      <c r="C628">
        <f t="shared" si="11"/>
        <v>2025</v>
      </c>
      <c r="D628" t="str">
        <f t="shared" si="13"/>
        <v>October</v>
      </c>
      <c r="E628" t="str">
        <f t="shared" si="12"/>
        <v>Week4</v>
      </c>
      <c r="F628" t="s">
        <v>1184</v>
      </c>
      <c r="G628" t="s">
        <v>1010</v>
      </c>
      <c r="H628">
        <v>8000</v>
      </c>
      <c r="I628" t="s">
        <v>1027</v>
      </c>
      <c r="J628" t="s">
        <v>1030</v>
      </c>
      <c r="K628" t="s">
        <v>1031</v>
      </c>
    </row>
    <row r="629" spans="1:11" x14ac:dyDescent="0.25">
      <c r="A629" t="s">
        <v>628</v>
      </c>
      <c r="B629" s="1">
        <v>45957</v>
      </c>
      <c r="C629">
        <f t="shared" si="11"/>
        <v>2025</v>
      </c>
      <c r="D629" t="str">
        <f t="shared" si="13"/>
        <v>October</v>
      </c>
      <c r="E629" t="str">
        <f t="shared" si="12"/>
        <v>Week4</v>
      </c>
      <c r="F629" t="s">
        <v>1094</v>
      </c>
      <c r="G629" t="s">
        <v>1198</v>
      </c>
      <c r="H629">
        <v>7500</v>
      </c>
      <c r="I629" t="s">
        <v>1027</v>
      </c>
      <c r="J629" t="s">
        <v>1030</v>
      </c>
      <c r="K629" t="s">
        <v>1031</v>
      </c>
    </row>
    <row r="630" spans="1:11" x14ac:dyDescent="0.25">
      <c r="A630" t="s">
        <v>629</v>
      </c>
      <c r="B630" s="1">
        <v>45957</v>
      </c>
      <c r="C630">
        <f t="shared" si="11"/>
        <v>2025</v>
      </c>
      <c r="D630" t="str">
        <f t="shared" si="13"/>
        <v>October</v>
      </c>
      <c r="E630" t="str">
        <f t="shared" si="12"/>
        <v>Week4</v>
      </c>
      <c r="F630" t="s">
        <v>1035</v>
      </c>
      <c r="G630" t="s">
        <v>1197</v>
      </c>
      <c r="H630">
        <v>13000</v>
      </c>
      <c r="I630" t="s">
        <v>1027</v>
      </c>
      <c r="J630" t="s">
        <v>1030</v>
      </c>
      <c r="K630" t="s">
        <v>1031</v>
      </c>
    </row>
    <row r="631" spans="1:11" x14ac:dyDescent="0.25">
      <c r="A631" t="s">
        <v>630</v>
      </c>
      <c r="B631" s="1">
        <v>45958</v>
      </c>
      <c r="C631">
        <f t="shared" si="11"/>
        <v>2025</v>
      </c>
      <c r="D631" t="str">
        <f t="shared" si="13"/>
        <v>October</v>
      </c>
      <c r="E631" t="str">
        <f t="shared" si="12"/>
        <v>Week4</v>
      </c>
      <c r="F631" t="s">
        <v>1169</v>
      </c>
      <c r="G631" t="s">
        <v>1012</v>
      </c>
      <c r="H631">
        <v>53450</v>
      </c>
      <c r="I631" t="s">
        <v>1027</v>
      </c>
      <c r="J631" t="s">
        <v>1030</v>
      </c>
      <c r="K631" t="s">
        <v>1031</v>
      </c>
    </row>
    <row r="632" spans="1:11" x14ac:dyDescent="0.25">
      <c r="A632" t="s">
        <v>631</v>
      </c>
      <c r="B632" s="1">
        <v>45958</v>
      </c>
      <c r="C632">
        <f t="shared" si="11"/>
        <v>2025</v>
      </c>
      <c r="D632" t="str">
        <f t="shared" si="13"/>
        <v>October</v>
      </c>
      <c r="E632" t="str">
        <f t="shared" si="12"/>
        <v>Week4</v>
      </c>
      <c r="F632" t="s">
        <v>1049</v>
      </c>
      <c r="G632" t="s">
        <v>1199</v>
      </c>
      <c r="H632">
        <v>20000</v>
      </c>
      <c r="I632" t="s">
        <v>1027</v>
      </c>
      <c r="J632" t="s">
        <v>1030</v>
      </c>
      <c r="K632" t="s">
        <v>1031</v>
      </c>
    </row>
    <row r="633" spans="1:11" x14ac:dyDescent="0.25">
      <c r="A633" t="s">
        <v>632</v>
      </c>
      <c r="B633" s="1">
        <v>45952</v>
      </c>
      <c r="C633">
        <f t="shared" si="11"/>
        <v>2025</v>
      </c>
      <c r="D633" t="str">
        <f t="shared" si="13"/>
        <v>October</v>
      </c>
      <c r="E633" t="str">
        <f t="shared" si="12"/>
        <v>Week4</v>
      </c>
      <c r="F633" t="s">
        <v>1018</v>
      </c>
      <c r="G633" t="s">
        <v>1013</v>
      </c>
      <c r="H633">
        <v>4000</v>
      </c>
      <c r="I633" t="s">
        <v>1027</v>
      </c>
      <c r="J633" t="s">
        <v>1030</v>
      </c>
      <c r="K633" t="s">
        <v>1031</v>
      </c>
    </row>
    <row r="634" spans="1:11" x14ac:dyDescent="0.25">
      <c r="A634" t="s">
        <v>633</v>
      </c>
      <c r="B634" s="1">
        <v>45962</v>
      </c>
      <c r="C634">
        <f t="shared" si="11"/>
        <v>2025</v>
      </c>
      <c r="D634" t="str">
        <f t="shared" si="13"/>
        <v>November</v>
      </c>
      <c r="E634" t="str">
        <f t="shared" si="12"/>
        <v>Week1</v>
      </c>
      <c r="F634" t="s">
        <v>1018</v>
      </c>
      <c r="G634" t="s">
        <v>1013</v>
      </c>
      <c r="H634">
        <v>4000</v>
      </c>
      <c r="I634" t="s">
        <v>1027</v>
      </c>
      <c r="J634" t="s">
        <v>1030</v>
      </c>
      <c r="K634" t="s">
        <v>1031</v>
      </c>
    </row>
    <row r="635" spans="1:11" x14ac:dyDescent="0.25">
      <c r="A635" t="s">
        <v>634</v>
      </c>
      <c r="B635" s="1">
        <v>45964</v>
      </c>
      <c r="C635">
        <f t="shared" si="11"/>
        <v>2025</v>
      </c>
      <c r="D635" t="str">
        <f t="shared" si="13"/>
        <v>November</v>
      </c>
      <c r="E635" t="str">
        <f t="shared" si="12"/>
        <v>Week1</v>
      </c>
      <c r="F635" t="s">
        <v>1035</v>
      </c>
      <c r="G635" t="s">
        <v>1197</v>
      </c>
      <c r="H635">
        <v>13000</v>
      </c>
      <c r="I635" t="s">
        <v>1027</v>
      </c>
      <c r="J635" t="s">
        <v>1030</v>
      </c>
      <c r="K635" t="s">
        <v>1031</v>
      </c>
    </row>
    <row r="636" spans="1:11" x14ac:dyDescent="0.25">
      <c r="A636" t="s">
        <v>635</v>
      </c>
      <c r="B636" s="1">
        <v>45964</v>
      </c>
      <c r="C636">
        <f t="shared" si="11"/>
        <v>2025</v>
      </c>
      <c r="D636" t="str">
        <f t="shared" si="13"/>
        <v>November</v>
      </c>
      <c r="E636" t="str">
        <f t="shared" si="12"/>
        <v>Week1</v>
      </c>
      <c r="F636" t="s">
        <v>1037</v>
      </c>
      <c r="G636" t="s">
        <v>1199</v>
      </c>
      <c r="H636">
        <v>24000</v>
      </c>
      <c r="I636" t="s">
        <v>1027</v>
      </c>
      <c r="J636" t="s">
        <v>1030</v>
      </c>
      <c r="K636" t="s">
        <v>1031</v>
      </c>
    </row>
    <row r="637" spans="1:11" x14ac:dyDescent="0.25">
      <c r="A637" t="s">
        <v>636</v>
      </c>
      <c r="B637" s="1">
        <v>45964</v>
      </c>
      <c r="C637">
        <f t="shared" si="11"/>
        <v>2025</v>
      </c>
      <c r="D637" t="str">
        <f t="shared" si="13"/>
        <v>November</v>
      </c>
      <c r="E637" t="str">
        <f t="shared" si="12"/>
        <v>Week1</v>
      </c>
      <c r="F637" t="s">
        <v>1040</v>
      </c>
      <c r="G637" t="s">
        <v>1199</v>
      </c>
      <c r="H637">
        <v>24000</v>
      </c>
      <c r="I637" t="s">
        <v>1027</v>
      </c>
      <c r="J637" t="s">
        <v>1030</v>
      </c>
      <c r="K637" t="s">
        <v>1031</v>
      </c>
    </row>
    <row r="638" spans="1:11" x14ac:dyDescent="0.25">
      <c r="A638" t="s">
        <v>637</v>
      </c>
      <c r="B638" s="1">
        <v>45965</v>
      </c>
      <c r="C638">
        <f t="shared" si="11"/>
        <v>2025</v>
      </c>
      <c r="D638" t="str">
        <f t="shared" si="13"/>
        <v>November</v>
      </c>
      <c r="E638" t="str">
        <f t="shared" si="12"/>
        <v>Week1</v>
      </c>
      <c r="F638" t="s">
        <v>1185</v>
      </c>
      <c r="G638" t="s">
        <v>1198</v>
      </c>
      <c r="H638">
        <v>3500</v>
      </c>
      <c r="I638" t="s">
        <v>1029</v>
      </c>
      <c r="J638" t="s">
        <v>1030</v>
      </c>
      <c r="K638" t="s">
        <v>1031</v>
      </c>
    </row>
    <row r="639" spans="1:11" x14ac:dyDescent="0.25">
      <c r="A639" t="s">
        <v>638</v>
      </c>
      <c r="B639" s="1">
        <v>45966</v>
      </c>
      <c r="C639">
        <f t="shared" si="11"/>
        <v>2025</v>
      </c>
      <c r="D639" t="str">
        <f t="shared" si="13"/>
        <v>November</v>
      </c>
      <c r="E639" t="str">
        <f t="shared" si="12"/>
        <v>Week1</v>
      </c>
      <c r="F639" t="s">
        <v>1025</v>
      </c>
      <c r="G639" t="s">
        <v>1014</v>
      </c>
      <c r="H639">
        <v>5000</v>
      </c>
      <c r="I639" t="s">
        <v>1027</v>
      </c>
      <c r="J639" t="s">
        <v>1030</v>
      </c>
      <c r="K639" t="s">
        <v>1031</v>
      </c>
    </row>
    <row r="640" spans="1:11" x14ac:dyDescent="0.25">
      <c r="A640" t="s">
        <v>639</v>
      </c>
      <c r="B640" s="1">
        <v>45971</v>
      </c>
      <c r="C640">
        <f t="shared" si="11"/>
        <v>2025</v>
      </c>
      <c r="D640" t="str">
        <f t="shared" si="13"/>
        <v>November</v>
      </c>
      <c r="E640" t="str">
        <f t="shared" si="12"/>
        <v>Week2</v>
      </c>
      <c r="F640" t="s">
        <v>1035</v>
      </c>
      <c r="G640" t="s">
        <v>1197</v>
      </c>
      <c r="H640">
        <v>13000</v>
      </c>
      <c r="I640" t="s">
        <v>1027</v>
      </c>
      <c r="J640" t="s">
        <v>1030</v>
      </c>
      <c r="K640" t="s">
        <v>1031</v>
      </c>
    </row>
    <row r="641" spans="1:11" x14ac:dyDescent="0.25">
      <c r="A641" t="s">
        <v>640</v>
      </c>
      <c r="B641" s="1">
        <v>45972</v>
      </c>
      <c r="C641">
        <f t="shared" si="11"/>
        <v>2025</v>
      </c>
      <c r="D641" t="str">
        <f t="shared" si="13"/>
        <v>November</v>
      </c>
      <c r="E641" t="str">
        <f t="shared" si="12"/>
        <v>Week2</v>
      </c>
      <c r="F641" t="s">
        <v>1046</v>
      </c>
      <c r="G641" t="s">
        <v>1014</v>
      </c>
      <c r="H641">
        <v>6000</v>
      </c>
      <c r="I641" t="s">
        <v>1027</v>
      </c>
      <c r="J641" t="s">
        <v>1030</v>
      </c>
      <c r="K641" t="s">
        <v>1031</v>
      </c>
    </row>
    <row r="642" spans="1:11" x14ac:dyDescent="0.25">
      <c r="A642" t="s">
        <v>641</v>
      </c>
      <c r="B642" s="1">
        <v>45973</v>
      </c>
      <c r="C642">
        <f t="shared" si="11"/>
        <v>2025</v>
      </c>
      <c r="D642" t="str">
        <f t="shared" si="13"/>
        <v>November</v>
      </c>
      <c r="E642" t="str">
        <f t="shared" si="12"/>
        <v>Week2</v>
      </c>
      <c r="F642" t="s">
        <v>1035</v>
      </c>
      <c r="G642" t="s">
        <v>1197</v>
      </c>
      <c r="H642">
        <v>57600</v>
      </c>
      <c r="I642" t="s">
        <v>1027</v>
      </c>
      <c r="J642" t="s">
        <v>1030</v>
      </c>
      <c r="K642" t="s">
        <v>1031</v>
      </c>
    </row>
    <row r="643" spans="1:11" x14ac:dyDescent="0.25">
      <c r="A643" t="s">
        <v>642</v>
      </c>
      <c r="B643" s="1">
        <v>45979</v>
      </c>
      <c r="C643">
        <f t="shared" si="11"/>
        <v>2025</v>
      </c>
      <c r="D643" t="str">
        <f t="shared" si="13"/>
        <v>November</v>
      </c>
      <c r="E643" t="str">
        <f t="shared" si="12"/>
        <v>Week3</v>
      </c>
      <c r="F643" t="s">
        <v>1186</v>
      </c>
      <c r="G643" t="s">
        <v>1198</v>
      </c>
      <c r="H643">
        <v>7000</v>
      </c>
      <c r="I643" t="s">
        <v>1029</v>
      </c>
      <c r="J643" t="s">
        <v>1030</v>
      </c>
      <c r="K643" t="s">
        <v>1031</v>
      </c>
    </row>
    <row r="644" spans="1:11" x14ac:dyDescent="0.25">
      <c r="A644" t="s">
        <v>643</v>
      </c>
      <c r="B644" s="1">
        <v>45975</v>
      </c>
      <c r="C644">
        <f t="shared" si="11"/>
        <v>2025</v>
      </c>
      <c r="D644" t="str">
        <f t="shared" si="13"/>
        <v>November</v>
      </c>
      <c r="E644" t="str">
        <f t="shared" si="12"/>
        <v>Week2</v>
      </c>
      <c r="F644" t="s">
        <v>1025</v>
      </c>
      <c r="G644" t="s">
        <v>1014</v>
      </c>
      <c r="H644">
        <v>10000</v>
      </c>
      <c r="I644" t="s">
        <v>1027</v>
      </c>
      <c r="J644" t="s">
        <v>1030</v>
      </c>
      <c r="K644" t="s">
        <v>1031</v>
      </c>
    </row>
    <row r="645" spans="1:11" x14ac:dyDescent="0.25">
      <c r="A645" t="s">
        <v>644</v>
      </c>
      <c r="B645" s="1">
        <v>45978</v>
      </c>
      <c r="C645">
        <f t="shared" si="11"/>
        <v>2025</v>
      </c>
      <c r="D645" t="str">
        <f t="shared" si="13"/>
        <v>November</v>
      </c>
      <c r="E645" t="str">
        <f t="shared" si="12"/>
        <v>Week3</v>
      </c>
      <c r="F645" t="s">
        <v>1018</v>
      </c>
      <c r="G645" t="s">
        <v>1013</v>
      </c>
      <c r="H645">
        <v>15000</v>
      </c>
      <c r="I645" t="s">
        <v>1027</v>
      </c>
      <c r="J645" t="s">
        <v>1030</v>
      </c>
      <c r="K645" t="s">
        <v>1031</v>
      </c>
    </row>
    <row r="646" spans="1:11" x14ac:dyDescent="0.25">
      <c r="A646" t="s">
        <v>645</v>
      </c>
      <c r="B646" s="1">
        <v>45979</v>
      </c>
      <c r="C646">
        <f t="shared" si="11"/>
        <v>2025</v>
      </c>
      <c r="D646" t="str">
        <f t="shared" si="13"/>
        <v>November</v>
      </c>
      <c r="E646" t="str">
        <f t="shared" si="12"/>
        <v>Week3</v>
      </c>
      <c r="F646" t="s">
        <v>1018</v>
      </c>
      <c r="G646" t="s">
        <v>1013</v>
      </c>
      <c r="H646">
        <v>10000</v>
      </c>
      <c r="I646" t="s">
        <v>1027</v>
      </c>
      <c r="J646" t="s">
        <v>1030</v>
      </c>
      <c r="K646" t="s">
        <v>1031</v>
      </c>
    </row>
    <row r="647" spans="1:11" x14ac:dyDescent="0.25">
      <c r="A647" t="s">
        <v>646</v>
      </c>
      <c r="B647" s="1">
        <v>45980</v>
      </c>
      <c r="C647">
        <f t="shared" si="11"/>
        <v>2025</v>
      </c>
      <c r="D647" t="str">
        <f t="shared" si="13"/>
        <v>November</v>
      </c>
      <c r="E647" t="str">
        <f t="shared" si="12"/>
        <v>Week3</v>
      </c>
      <c r="F647" t="s">
        <v>1187</v>
      </c>
      <c r="G647" t="s">
        <v>1010</v>
      </c>
      <c r="H647">
        <v>10000</v>
      </c>
      <c r="I647" t="s">
        <v>1029</v>
      </c>
      <c r="J647" t="s">
        <v>1030</v>
      </c>
      <c r="K647" t="s">
        <v>1031</v>
      </c>
    </row>
    <row r="648" spans="1:11" x14ac:dyDescent="0.25">
      <c r="A648" t="s">
        <v>647</v>
      </c>
      <c r="B648" s="1">
        <v>45985</v>
      </c>
      <c r="C648">
        <f t="shared" si="11"/>
        <v>2025</v>
      </c>
      <c r="D648" t="str">
        <f t="shared" si="13"/>
        <v>November</v>
      </c>
      <c r="E648" t="str">
        <f t="shared" si="12"/>
        <v>Week4</v>
      </c>
      <c r="F648" t="s">
        <v>1035</v>
      </c>
      <c r="G648" t="s">
        <v>1197</v>
      </c>
      <c r="H648">
        <v>13000</v>
      </c>
      <c r="I648" t="s">
        <v>1027</v>
      </c>
      <c r="J648" t="s">
        <v>1030</v>
      </c>
      <c r="K648" t="s">
        <v>1031</v>
      </c>
    </row>
    <row r="649" spans="1:11" x14ac:dyDescent="0.25">
      <c r="A649" t="s">
        <v>648</v>
      </c>
      <c r="B649" s="1">
        <v>45985</v>
      </c>
      <c r="C649">
        <f t="shared" si="11"/>
        <v>2025</v>
      </c>
      <c r="D649" t="str">
        <f t="shared" si="13"/>
        <v>November</v>
      </c>
      <c r="E649" t="str">
        <f t="shared" si="12"/>
        <v>Week4</v>
      </c>
      <c r="F649" t="s">
        <v>1046</v>
      </c>
      <c r="G649" t="s">
        <v>1014</v>
      </c>
      <c r="H649">
        <v>6000</v>
      </c>
      <c r="I649" t="s">
        <v>1027</v>
      </c>
      <c r="J649" t="s">
        <v>1030</v>
      </c>
      <c r="K649" t="s">
        <v>1031</v>
      </c>
    </row>
    <row r="650" spans="1:11" x14ac:dyDescent="0.25">
      <c r="A650" t="s">
        <v>649</v>
      </c>
      <c r="B650" s="1">
        <v>45986</v>
      </c>
      <c r="C650">
        <f t="shared" si="11"/>
        <v>2025</v>
      </c>
      <c r="D650" t="str">
        <f t="shared" si="13"/>
        <v>November</v>
      </c>
      <c r="E650" t="str">
        <f t="shared" si="12"/>
        <v>Week4</v>
      </c>
      <c r="F650" t="s">
        <v>1188</v>
      </c>
      <c r="G650" t="s">
        <v>1198</v>
      </c>
      <c r="H650">
        <v>5000</v>
      </c>
      <c r="I650" t="s">
        <v>1029</v>
      </c>
      <c r="J650" t="s">
        <v>1030</v>
      </c>
      <c r="K650" t="s">
        <v>1031</v>
      </c>
    </row>
    <row r="651" spans="1:11" x14ac:dyDescent="0.25">
      <c r="A651" t="s">
        <v>650</v>
      </c>
      <c r="B651" s="1">
        <v>45987</v>
      </c>
      <c r="C651">
        <f t="shared" si="11"/>
        <v>2025</v>
      </c>
      <c r="D651" t="str">
        <f t="shared" si="13"/>
        <v>November</v>
      </c>
      <c r="E651" t="str">
        <f t="shared" si="12"/>
        <v>Week4</v>
      </c>
      <c r="F651" t="s">
        <v>1102</v>
      </c>
      <c r="G651" t="s">
        <v>1011</v>
      </c>
      <c r="H651">
        <v>22000</v>
      </c>
      <c r="I651" t="s">
        <v>1027</v>
      </c>
      <c r="J651" t="s">
        <v>1030</v>
      </c>
      <c r="K651" t="s">
        <v>1031</v>
      </c>
    </row>
    <row r="652" spans="1:11" x14ac:dyDescent="0.25">
      <c r="A652" t="s">
        <v>651</v>
      </c>
      <c r="B652" s="1">
        <v>45988</v>
      </c>
      <c r="C652">
        <f t="shared" si="11"/>
        <v>2025</v>
      </c>
      <c r="D652" t="str">
        <f t="shared" si="13"/>
        <v>November</v>
      </c>
      <c r="E652" t="str">
        <f t="shared" si="12"/>
        <v>Week4</v>
      </c>
      <c r="F652" t="s">
        <v>1025</v>
      </c>
      <c r="G652" t="s">
        <v>1014</v>
      </c>
      <c r="H652">
        <v>5000</v>
      </c>
      <c r="I652" t="s">
        <v>1027</v>
      </c>
      <c r="J652" t="s">
        <v>1030</v>
      </c>
      <c r="K652" t="s">
        <v>1031</v>
      </c>
    </row>
    <row r="653" spans="1:11" x14ac:dyDescent="0.25">
      <c r="A653" t="s">
        <v>652</v>
      </c>
      <c r="B653" s="1">
        <v>45988</v>
      </c>
      <c r="C653">
        <f t="shared" si="11"/>
        <v>2025</v>
      </c>
      <c r="D653" t="str">
        <f t="shared" si="13"/>
        <v>November</v>
      </c>
      <c r="E653" t="str">
        <f t="shared" si="12"/>
        <v>Week4</v>
      </c>
      <c r="F653" t="s">
        <v>1189</v>
      </c>
      <c r="G653" t="s">
        <v>1011</v>
      </c>
      <c r="H653">
        <v>25000</v>
      </c>
      <c r="I653" t="s">
        <v>1027</v>
      </c>
      <c r="J653" t="s">
        <v>1030</v>
      </c>
      <c r="K653" t="s">
        <v>1031</v>
      </c>
    </row>
    <row r="654" spans="1:11" x14ac:dyDescent="0.25">
      <c r="A654" t="s">
        <v>653</v>
      </c>
      <c r="B654" s="1">
        <v>45988</v>
      </c>
      <c r="C654">
        <f t="shared" si="11"/>
        <v>2025</v>
      </c>
      <c r="D654" t="str">
        <f t="shared" si="13"/>
        <v>November</v>
      </c>
      <c r="E654" t="str">
        <f t="shared" si="12"/>
        <v>Week4</v>
      </c>
      <c r="F654" t="s">
        <v>1190</v>
      </c>
      <c r="G654" t="s">
        <v>1014</v>
      </c>
      <c r="H654">
        <v>35000</v>
      </c>
      <c r="I654" t="s">
        <v>1028</v>
      </c>
      <c r="J654" t="s">
        <v>1030</v>
      </c>
      <c r="K654" t="s">
        <v>1031</v>
      </c>
    </row>
    <row r="655" spans="1:11" x14ac:dyDescent="0.25">
      <c r="A655" t="s">
        <v>654</v>
      </c>
      <c r="B655" s="1">
        <v>45989</v>
      </c>
      <c r="C655">
        <f t="shared" si="11"/>
        <v>2025</v>
      </c>
      <c r="D655" t="str">
        <f t="shared" si="13"/>
        <v>November</v>
      </c>
      <c r="E655" t="str">
        <f t="shared" si="12"/>
        <v>Week4</v>
      </c>
      <c r="F655" t="s">
        <v>1191</v>
      </c>
      <c r="G655" t="s">
        <v>1198</v>
      </c>
      <c r="H655">
        <v>50000</v>
      </c>
      <c r="I655" t="s">
        <v>1028</v>
      </c>
      <c r="J655" t="s">
        <v>1030</v>
      </c>
      <c r="K655" t="s">
        <v>1031</v>
      </c>
    </row>
    <row r="656" spans="1:11" x14ac:dyDescent="0.25">
      <c r="A656" t="s">
        <v>655</v>
      </c>
      <c r="B656" s="1">
        <v>45989</v>
      </c>
      <c r="C656">
        <f t="shared" si="11"/>
        <v>2025</v>
      </c>
      <c r="D656" t="str">
        <f t="shared" si="13"/>
        <v>November</v>
      </c>
      <c r="E656" t="str">
        <f t="shared" si="12"/>
        <v>Week4</v>
      </c>
      <c r="F656" t="s">
        <v>1192</v>
      </c>
      <c r="G656" t="s">
        <v>1015</v>
      </c>
      <c r="H656">
        <v>15000</v>
      </c>
      <c r="I656" t="s">
        <v>1027</v>
      </c>
      <c r="J656" t="s">
        <v>1030</v>
      </c>
      <c r="K656" t="s">
        <v>1031</v>
      </c>
    </row>
    <row r="657" spans="1:11" x14ac:dyDescent="0.25">
      <c r="A657" t="s">
        <v>656</v>
      </c>
      <c r="B657" s="1">
        <v>45990</v>
      </c>
      <c r="C657">
        <f t="shared" si="11"/>
        <v>2025</v>
      </c>
      <c r="D657" t="str">
        <f t="shared" si="13"/>
        <v>November</v>
      </c>
      <c r="E657" t="str">
        <f t="shared" si="12"/>
        <v>Week5</v>
      </c>
      <c r="F657" t="s">
        <v>1049</v>
      </c>
      <c r="G657" t="s">
        <v>1199</v>
      </c>
      <c r="H657">
        <v>20000</v>
      </c>
      <c r="I657" t="s">
        <v>1027</v>
      </c>
      <c r="J657" t="s">
        <v>1030</v>
      </c>
      <c r="K657" t="s">
        <v>1031</v>
      </c>
    </row>
    <row r="658" spans="1:11" x14ac:dyDescent="0.25">
      <c r="A658" t="s">
        <v>657</v>
      </c>
      <c r="B658" s="1">
        <v>45991</v>
      </c>
      <c r="C658">
        <f t="shared" si="11"/>
        <v>2025</v>
      </c>
      <c r="D658" t="str">
        <f t="shared" si="13"/>
        <v>November</v>
      </c>
      <c r="E658" t="str">
        <f t="shared" si="12"/>
        <v>Week5</v>
      </c>
      <c r="F658" t="s">
        <v>1018</v>
      </c>
      <c r="G658" t="s">
        <v>1013</v>
      </c>
      <c r="H658">
        <v>5000</v>
      </c>
      <c r="I658" t="s">
        <v>1027</v>
      </c>
      <c r="J658" t="s">
        <v>1030</v>
      </c>
      <c r="K658" t="s">
        <v>1031</v>
      </c>
    </row>
    <row r="659" spans="1:11" x14ac:dyDescent="0.25">
      <c r="A659" t="s">
        <v>658</v>
      </c>
      <c r="B659" s="1">
        <v>45989</v>
      </c>
      <c r="C659">
        <f t="shared" si="11"/>
        <v>2025</v>
      </c>
      <c r="D659" t="str">
        <f t="shared" si="13"/>
        <v>November</v>
      </c>
      <c r="E659" t="str">
        <f t="shared" si="12"/>
        <v>Week4</v>
      </c>
      <c r="F659" t="s">
        <v>1102</v>
      </c>
      <c r="G659" t="s">
        <v>1011</v>
      </c>
      <c r="H659">
        <v>22000</v>
      </c>
      <c r="I659" t="s">
        <v>1027</v>
      </c>
      <c r="J659" t="s">
        <v>1030</v>
      </c>
      <c r="K659" t="s">
        <v>1031</v>
      </c>
    </row>
    <row r="660" spans="1:11" x14ac:dyDescent="0.25">
      <c r="A660" t="s">
        <v>659</v>
      </c>
      <c r="B660" s="1">
        <v>45992</v>
      </c>
      <c r="C660">
        <f t="shared" si="11"/>
        <v>2025</v>
      </c>
      <c r="D660" t="str">
        <f t="shared" si="13"/>
        <v>December</v>
      </c>
      <c r="E660" t="str">
        <f t="shared" si="12"/>
        <v>Week1</v>
      </c>
      <c r="F660" t="s">
        <v>1189</v>
      </c>
      <c r="G660" t="s">
        <v>1011</v>
      </c>
      <c r="H660">
        <v>25000</v>
      </c>
      <c r="I660" t="s">
        <v>1027</v>
      </c>
      <c r="J660" t="s">
        <v>1030</v>
      </c>
      <c r="K660" t="s">
        <v>1031</v>
      </c>
    </row>
    <row r="661" spans="1:11" x14ac:dyDescent="0.25">
      <c r="A661" t="s">
        <v>660</v>
      </c>
      <c r="B661" s="1">
        <v>45992</v>
      </c>
      <c r="C661">
        <f t="shared" si="11"/>
        <v>2025</v>
      </c>
      <c r="D661" t="str">
        <f t="shared" si="13"/>
        <v>December</v>
      </c>
      <c r="E661" t="str">
        <f t="shared" si="12"/>
        <v>Week1</v>
      </c>
      <c r="F661" t="s">
        <v>1035</v>
      </c>
      <c r="G661" t="s">
        <v>1197</v>
      </c>
      <c r="H661">
        <v>13000</v>
      </c>
      <c r="I661" t="s">
        <v>1027</v>
      </c>
      <c r="J661" t="s">
        <v>1030</v>
      </c>
      <c r="K661" t="s">
        <v>1031</v>
      </c>
    </row>
    <row r="662" spans="1:11" x14ac:dyDescent="0.25">
      <c r="A662" t="s">
        <v>661</v>
      </c>
      <c r="B662" s="1">
        <v>45992</v>
      </c>
      <c r="C662">
        <f t="shared" si="11"/>
        <v>2025</v>
      </c>
      <c r="D662" t="str">
        <f t="shared" si="13"/>
        <v>December</v>
      </c>
      <c r="E662" t="str">
        <f t="shared" si="12"/>
        <v>Week1</v>
      </c>
      <c r="F662" t="s">
        <v>1037</v>
      </c>
      <c r="G662" t="s">
        <v>1199</v>
      </c>
      <c r="H662">
        <v>24000</v>
      </c>
      <c r="I662" t="s">
        <v>1027</v>
      </c>
      <c r="J662" t="s">
        <v>1030</v>
      </c>
      <c r="K662" t="s">
        <v>1031</v>
      </c>
    </row>
    <row r="663" spans="1:11" x14ac:dyDescent="0.25">
      <c r="A663" t="s">
        <v>662</v>
      </c>
      <c r="B663" s="1">
        <v>45992</v>
      </c>
      <c r="C663">
        <f t="shared" si="11"/>
        <v>2025</v>
      </c>
      <c r="D663" t="str">
        <f t="shared" si="13"/>
        <v>December</v>
      </c>
      <c r="E663" t="str">
        <f t="shared" si="12"/>
        <v>Week1</v>
      </c>
      <c r="F663" t="s">
        <v>1102</v>
      </c>
      <c r="G663" t="s">
        <v>1011</v>
      </c>
      <c r="H663">
        <v>22000</v>
      </c>
      <c r="I663" t="s">
        <v>1027</v>
      </c>
      <c r="J663" t="s">
        <v>1030</v>
      </c>
      <c r="K663" t="s">
        <v>1031</v>
      </c>
    </row>
    <row r="664" spans="1:11" x14ac:dyDescent="0.25">
      <c r="A664" t="s">
        <v>663</v>
      </c>
      <c r="B664" s="1">
        <v>45993</v>
      </c>
      <c r="C664">
        <f t="shared" si="11"/>
        <v>2025</v>
      </c>
      <c r="D664" t="str">
        <f t="shared" si="13"/>
        <v>December</v>
      </c>
      <c r="E664" t="str">
        <f t="shared" si="12"/>
        <v>Week1</v>
      </c>
      <c r="F664" t="s">
        <v>1040</v>
      </c>
      <c r="G664" t="s">
        <v>1199</v>
      </c>
      <c r="H664">
        <v>24000</v>
      </c>
      <c r="I664" t="s">
        <v>1027</v>
      </c>
      <c r="J664" t="s">
        <v>1030</v>
      </c>
      <c r="K664" t="s">
        <v>1031</v>
      </c>
    </row>
    <row r="665" spans="1:11" x14ac:dyDescent="0.25">
      <c r="A665" t="s">
        <v>664</v>
      </c>
      <c r="B665" s="1">
        <v>45994</v>
      </c>
      <c r="C665">
        <f t="shared" si="11"/>
        <v>2025</v>
      </c>
      <c r="D665" t="str">
        <f t="shared" si="13"/>
        <v>December</v>
      </c>
      <c r="E665" t="str">
        <f t="shared" si="12"/>
        <v>Week1</v>
      </c>
      <c r="F665" t="s">
        <v>1193</v>
      </c>
      <c r="G665" t="s">
        <v>1014</v>
      </c>
      <c r="H665">
        <v>120200</v>
      </c>
      <c r="I665" t="s">
        <v>1027</v>
      </c>
      <c r="J665" t="s">
        <v>1030</v>
      </c>
      <c r="K665" t="s">
        <v>1031</v>
      </c>
    </row>
    <row r="666" spans="1:11" x14ac:dyDescent="0.25">
      <c r="A666" t="s">
        <v>665</v>
      </c>
      <c r="B666" s="1">
        <v>45995</v>
      </c>
      <c r="C666">
        <f t="shared" si="11"/>
        <v>2025</v>
      </c>
      <c r="D666" t="str">
        <f t="shared" si="13"/>
        <v>December</v>
      </c>
      <c r="E666" t="str">
        <f t="shared" si="12"/>
        <v>Week1</v>
      </c>
      <c r="F666" t="s">
        <v>1194</v>
      </c>
      <c r="G666" t="s">
        <v>1012</v>
      </c>
      <c r="H666">
        <v>7000</v>
      </c>
      <c r="I666" t="s">
        <v>1027</v>
      </c>
      <c r="J666" t="s">
        <v>1030</v>
      </c>
      <c r="K666" t="s">
        <v>1031</v>
      </c>
    </row>
    <row r="667" spans="1:11" x14ac:dyDescent="0.25">
      <c r="A667" t="s">
        <v>666</v>
      </c>
      <c r="B667" s="1">
        <v>45995</v>
      </c>
      <c r="C667">
        <f t="shared" si="11"/>
        <v>2025</v>
      </c>
      <c r="D667" t="str">
        <f t="shared" si="13"/>
        <v>December</v>
      </c>
      <c r="E667" t="str">
        <f t="shared" si="12"/>
        <v>Week1</v>
      </c>
      <c r="F667" t="s">
        <v>1132</v>
      </c>
      <c r="G667" t="s">
        <v>1012</v>
      </c>
      <c r="H667">
        <v>9000</v>
      </c>
      <c r="I667" t="s">
        <v>1027</v>
      </c>
      <c r="J667" t="s">
        <v>1030</v>
      </c>
      <c r="K667" t="s">
        <v>1031</v>
      </c>
    </row>
    <row r="668" spans="1:11" x14ac:dyDescent="0.25">
      <c r="A668" t="s">
        <v>667</v>
      </c>
      <c r="B668" s="1">
        <v>45999</v>
      </c>
      <c r="C668">
        <f t="shared" si="11"/>
        <v>2025</v>
      </c>
      <c r="D668" t="str">
        <f t="shared" si="13"/>
        <v>December</v>
      </c>
      <c r="E668" t="str">
        <f t="shared" si="12"/>
        <v>Week2</v>
      </c>
      <c r="F668" t="s">
        <v>1035</v>
      </c>
      <c r="G668" t="s">
        <v>1197</v>
      </c>
      <c r="H668">
        <v>13000</v>
      </c>
      <c r="I668" t="s">
        <v>1027</v>
      </c>
      <c r="J668" t="s">
        <v>1030</v>
      </c>
      <c r="K668" t="s">
        <v>1031</v>
      </c>
    </row>
    <row r="669" spans="1:11" x14ac:dyDescent="0.25">
      <c r="A669" t="s">
        <v>668</v>
      </c>
      <c r="B669" s="1">
        <v>46000</v>
      </c>
      <c r="C669">
        <f t="shared" si="11"/>
        <v>2025</v>
      </c>
      <c r="D669" t="str">
        <f t="shared" si="13"/>
        <v>December</v>
      </c>
      <c r="E669" t="str">
        <f t="shared" si="12"/>
        <v>Week2</v>
      </c>
      <c r="F669" t="s">
        <v>1046</v>
      </c>
      <c r="G669" t="s">
        <v>1014</v>
      </c>
      <c r="H669">
        <v>6000</v>
      </c>
      <c r="I669" t="s">
        <v>1027</v>
      </c>
      <c r="J669" t="s">
        <v>1030</v>
      </c>
      <c r="K669" t="s">
        <v>1031</v>
      </c>
    </row>
    <row r="670" spans="1:11" x14ac:dyDescent="0.25">
      <c r="A670" t="s">
        <v>669</v>
      </c>
      <c r="B670" s="1">
        <v>46000</v>
      </c>
      <c r="C670">
        <f t="shared" si="11"/>
        <v>2025</v>
      </c>
      <c r="D670" t="str">
        <f t="shared" si="13"/>
        <v>December</v>
      </c>
      <c r="E670" t="str">
        <f t="shared" si="12"/>
        <v>Week2</v>
      </c>
      <c r="F670" t="s">
        <v>1018</v>
      </c>
      <c r="G670" t="s">
        <v>1013</v>
      </c>
      <c r="H670">
        <v>5000</v>
      </c>
      <c r="I670" t="s">
        <v>1027</v>
      </c>
      <c r="J670" t="s">
        <v>1030</v>
      </c>
      <c r="K670" t="s">
        <v>1031</v>
      </c>
    </row>
    <row r="671" spans="1:11" x14ac:dyDescent="0.25">
      <c r="A671" t="s">
        <v>670</v>
      </c>
      <c r="B671" s="1">
        <v>46001</v>
      </c>
      <c r="C671">
        <f t="shared" si="11"/>
        <v>2025</v>
      </c>
      <c r="D671" t="str">
        <f t="shared" si="13"/>
        <v>December</v>
      </c>
      <c r="E671" t="str">
        <f t="shared" si="12"/>
        <v>Week2</v>
      </c>
      <c r="F671" t="s">
        <v>1195</v>
      </c>
      <c r="G671" t="s">
        <v>1010</v>
      </c>
      <c r="H671">
        <v>15000</v>
      </c>
      <c r="I671" t="s">
        <v>1027</v>
      </c>
      <c r="J671" t="s">
        <v>1030</v>
      </c>
      <c r="K671" t="s">
        <v>1031</v>
      </c>
    </row>
    <row r="672" spans="1:11" x14ac:dyDescent="0.25">
      <c r="A672" t="s">
        <v>671</v>
      </c>
      <c r="B672" s="1">
        <v>46006</v>
      </c>
      <c r="C672">
        <f t="shared" si="11"/>
        <v>2025</v>
      </c>
      <c r="D672" t="str">
        <f t="shared" si="13"/>
        <v>December</v>
      </c>
      <c r="E672" t="str">
        <f t="shared" si="12"/>
        <v>Week3</v>
      </c>
      <c r="F672" t="s">
        <v>1035</v>
      </c>
      <c r="G672" t="s">
        <v>1197</v>
      </c>
      <c r="H672">
        <v>13000</v>
      </c>
      <c r="I672" t="s">
        <v>1027</v>
      </c>
      <c r="J672" t="s">
        <v>1030</v>
      </c>
      <c r="K672" t="s">
        <v>1031</v>
      </c>
    </row>
    <row r="673" spans="1:11" x14ac:dyDescent="0.25">
      <c r="A673" t="s">
        <v>672</v>
      </c>
      <c r="B673" s="1">
        <v>46006</v>
      </c>
      <c r="C673">
        <f t="shared" si="11"/>
        <v>2025</v>
      </c>
      <c r="D673" t="str">
        <f t="shared" si="13"/>
        <v>December</v>
      </c>
      <c r="E673" t="str">
        <f t="shared" si="12"/>
        <v>Week3</v>
      </c>
      <c r="F673" t="s">
        <v>1018</v>
      </c>
      <c r="G673" t="s">
        <v>1013</v>
      </c>
      <c r="H673">
        <v>4000</v>
      </c>
      <c r="I673" t="s">
        <v>1027</v>
      </c>
      <c r="J673" t="s">
        <v>1030</v>
      </c>
      <c r="K673" t="s">
        <v>1031</v>
      </c>
    </row>
    <row r="674" spans="1:11" x14ac:dyDescent="0.25">
      <c r="A674" t="s">
        <v>673</v>
      </c>
      <c r="B674" s="1">
        <v>46007</v>
      </c>
      <c r="C674">
        <f t="shared" si="11"/>
        <v>2025</v>
      </c>
      <c r="D674" t="str">
        <f t="shared" si="13"/>
        <v>December</v>
      </c>
      <c r="E674" t="str">
        <f t="shared" si="12"/>
        <v>Week3</v>
      </c>
      <c r="F674" t="s">
        <v>1165</v>
      </c>
      <c r="G674" t="s">
        <v>1198</v>
      </c>
      <c r="H674">
        <v>18000</v>
      </c>
      <c r="I674" t="s">
        <v>1028</v>
      </c>
      <c r="J674" t="s">
        <v>1030</v>
      </c>
      <c r="K674" t="s">
        <v>1031</v>
      </c>
    </row>
    <row r="675" spans="1:11" x14ac:dyDescent="0.25">
      <c r="A675" t="s">
        <v>674</v>
      </c>
      <c r="B675" s="1">
        <v>46009</v>
      </c>
      <c r="C675">
        <f t="shared" si="11"/>
        <v>2025</v>
      </c>
      <c r="D675" t="str">
        <f t="shared" si="13"/>
        <v>December</v>
      </c>
      <c r="E675" t="str">
        <f t="shared" si="12"/>
        <v>Week3</v>
      </c>
      <c r="F675" t="s">
        <v>1046</v>
      </c>
      <c r="G675" t="s">
        <v>1014</v>
      </c>
      <c r="H675">
        <v>4500</v>
      </c>
      <c r="I675" t="s">
        <v>1028</v>
      </c>
      <c r="J675" t="s">
        <v>1030</v>
      </c>
      <c r="K675" t="s">
        <v>1031</v>
      </c>
    </row>
    <row r="676" spans="1:11" x14ac:dyDescent="0.25">
      <c r="A676" t="s">
        <v>675</v>
      </c>
      <c r="B676" s="1">
        <v>46011</v>
      </c>
      <c r="C676">
        <f t="shared" si="11"/>
        <v>2025</v>
      </c>
      <c r="D676" t="str">
        <f t="shared" si="13"/>
        <v>December</v>
      </c>
      <c r="E676" t="str">
        <f t="shared" si="12"/>
        <v>Week3</v>
      </c>
      <c r="F676" t="s">
        <v>1102</v>
      </c>
      <c r="G676" t="s">
        <v>1011</v>
      </c>
      <c r="H676">
        <v>22000</v>
      </c>
      <c r="I676" t="s">
        <v>1028</v>
      </c>
      <c r="J676" t="s">
        <v>1030</v>
      </c>
      <c r="K676" t="s">
        <v>1031</v>
      </c>
    </row>
    <row r="677" spans="1:11" x14ac:dyDescent="0.25">
      <c r="A677" t="s">
        <v>676</v>
      </c>
      <c r="B677" s="1">
        <v>46013</v>
      </c>
      <c r="C677">
        <f t="shared" si="11"/>
        <v>2025</v>
      </c>
      <c r="D677" t="str">
        <f t="shared" si="13"/>
        <v>December</v>
      </c>
      <c r="E677" t="str">
        <f t="shared" si="12"/>
        <v>Week4</v>
      </c>
      <c r="F677" t="s">
        <v>1102</v>
      </c>
      <c r="G677" t="s">
        <v>1011</v>
      </c>
      <c r="H677">
        <v>22000</v>
      </c>
      <c r="I677" t="s">
        <v>1028</v>
      </c>
      <c r="J677" t="s">
        <v>1030</v>
      </c>
      <c r="K677" t="s">
        <v>1031</v>
      </c>
    </row>
    <row r="678" spans="1:11" x14ac:dyDescent="0.25">
      <c r="A678" t="s">
        <v>677</v>
      </c>
      <c r="B678" s="1">
        <v>46013</v>
      </c>
      <c r="C678">
        <f t="shared" ref="C678:C683" si="14">YEAR(B678)</f>
        <v>2025</v>
      </c>
      <c r="D678" t="str">
        <f t="shared" si="13"/>
        <v>December</v>
      </c>
      <c r="E678" t="str">
        <f t="shared" si="12"/>
        <v>Week4</v>
      </c>
      <c r="F678" t="s">
        <v>1196</v>
      </c>
      <c r="G678" t="s">
        <v>1010</v>
      </c>
      <c r="H678">
        <v>12000</v>
      </c>
      <c r="I678" t="s">
        <v>1028</v>
      </c>
      <c r="J678" t="s">
        <v>1030</v>
      </c>
      <c r="K678" t="s">
        <v>1031</v>
      </c>
    </row>
    <row r="679" spans="1:11" x14ac:dyDescent="0.25">
      <c r="A679" t="s">
        <v>678</v>
      </c>
      <c r="B679" s="1">
        <v>46015</v>
      </c>
      <c r="C679">
        <f t="shared" si="14"/>
        <v>2025</v>
      </c>
      <c r="D679" t="str">
        <f t="shared" si="13"/>
        <v>December</v>
      </c>
      <c r="E679" t="str">
        <f t="shared" si="12"/>
        <v>Week4</v>
      </c>
      <c r="F679" t="s">
        <v>1018</v>
      </c>
      <c r="G679" t="s">
        <v>1013</v>
      </c>
      <c r="H679">
        <v>4000</v>
      </c>
      <c r="I679" t="s">
        <v>1027</v>
      </c>
      <c r="J679" t="s">
        <v>1030</v>
      </c>
      <c r="K679" t="s">
        <v>1031</v>
      </c>
    </row>
    <row r="680" spans="1:11" x14ac:dyDescent="0.25">
      <c r="A680" t="s">
        <v>679</v>
      </c>
      <c r="B680" s="1">
        <v>46019</v>
      </c>
      <c r="C680">
        <f t="shared" si="14"/>
        <v>2025</v>
      </c>
      <c r="D680" t="str">
        <f t="shared" si="13"/>
        <v>December</v>
      </c>
      <c r="E680" t="str">
        <f t="shared" si="12"/>
        <v>Week4</v>
      </c>
      <c r="F680" t="s">
        <v>1018</v>
      </c>
      <c r="G680" t="s">
        <v>1013</v>
      </c>
      <c r="H680">
        <v>4000</v>
      </c>
      <c r="I680" t="s">
        <v>1027</v>
      </c>
      <c r="J680" t="s">
        <v>1030</v>
      </c>
      <c r="K680" t="s">
        <v>1031</v>
      </c>
    </row>
    <row r="681" spans="1:11" x14ac:dyDescent="0.25">
      <c r="A681" t="s">
        <v>680</v>
      </c>
      <c r="B681" s="1">
        <v>46019</v>
      </c>
      <c r="C681">
        <f t="shared" si="14"/>
        <v>2025</v>
      </c>
      <c r="D681" t="str">
        <f t="shared" si="13"/>
        <v>December</v>
      </c>
      <c r="E681" t="str">
        <f t="shared" si="12"/>
        <v>Week4</v>
      </c>
      <c r="F681" t="s">
        <v>1102</v>
      </c>
      <c r="G681" t="s">
        <v>1011</v>
      </c>
      <c r="H681">
        <v>22000</v>
      </c>
      <c r="I681" t="s">
        <v>1028</v>
      </c>
      <c r="J681" t="s">
        <v>1030</v>
      </c>
      <c r="K681" t="s">
        <v>1031</v>
      </c>
    </row>
    <row r="682" spans="1:11" x14ac:dyDescent="0.25">
      <c r="A682" t="s">
        <v>681</v>
      </c>
      <c r="B682" s="1">
        <v>46020</v>
      </c>
      <c r="C682">
        <f t="shared" si="14"/>
        <v>2025</v>
      </c>
      <c r="D682" t="str">
        <f t="shared" si="13"/>
        <v>December</v>
      </c>
      <c r="E682" t="str">
        <f t="shared" si="12"/>
        <v>Week5</v>
      </c>
      <c r="F682" t="s">
        <v>1049</v>
      </c>
      <c r="G682" t="s">
        <v>1199</v>
      </c>
      <c r="H682">
        <v>20000</v>
      </c>
      <c r="I682" t="s">
        <v>1027</v>
      </c>
      <c r="J682" t="s">
        <v>1030</v>
      </c>
      <c r="K682" t="s">
        <v>1031</v>
      </c>
    </row>
    <row r="683" spans="1:11" x14ac:dyDescent="0.25">
      <c r="A683" t="s">
        <v>682</v>
      </c>
      <c r="B683" s="1">
        <v>46020</v>
      </c>
      <c r="C683">
        <f t="shared" si="14"/>
        <v>2025</v>
      </c>
      <c r="D683" t="str">
        <f t="shared" si="13"/>
        <v>December</v>
      </c>
      <c r="E683" t="str">
        <f t="shared" ref="E683" si="15">"Week"&amp;ROUNDUP(DAY(B683)/7,0)</f>
        <v>Week5</v>
      </c>
      <c r="F683" t="s">
        <v>1025</v>
      </c>
      <c r="G683" t="s">
        <v>1014</v>
      </c>
      <c r="H683">
        <v>5000</v>
      </c>
      <c r="I683" t="s">
        <v>1027</v>
      </c>
      <c r="J683" t="s">
        <v>1030</v>
      </c>
      <c r="K683" t="s">
        <v>1031</v>
      </c>
    </row>
    <row r="684" spans="1:11" x14ac:dyDescent="0.25">
      <c r="A684" t="s">
        <v>683</v>
      </c>
    </row>
    <row r="685" spans="1:11" x14ac:dyDescent="0.25">
      <c r="A685" t="s">
        <v>684</v>
      </c>
    </row>
    <row r="686" spans="1:11" x14ac:dyDescent="0.25">
      <c r="A686" t="s">
        <v>685</v>
      </c>
    </row>
    <row r="687" spans="1:11" x14ac:dyDescent="0.25">
      <c r="A687" t="s">
        <v>686</v>
      </c>
    </row>
    <row r="688" spans="1: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sheetData>
  <dataConsolidate/>
  <phoneticPr fontId="1"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FB061825-6D94-4F22-8087-65D9A41DE386}">
          <x14:formula1>
            <xm:f>Lookup_List!$A:$A</xm:f>
          </x14:formula1>
          <xm:sqref>M5</xm:sqref>
        </x14:dataValidation>
        <x14:dataValidation type="list" allowBlank="1" showInputMessage="1" showErrorMessage="1" xr:uid="{5D353B56-4CF1-4FDD-B5B9-C374F7C75E3D}">
          <x14:formula1>
            <xm:f>Lookup_List!$A:$A</xm:f>
          </x14:formula1>
          <xm:sqref>G1:G1048576</xm:sqref>
        </x14:dataValidation>
        <x14:dataValidation type="list" allowBlank="1" showInputMessage="1" showErrorMessage="1" xr:uid="{CC156385-BB13-477B-9BC9-71AC4CDDFDEA}">
          <x14:formula1>
            <xm:f>Lookup_List!$B:$B</xm:f>
          </x14:formula1>
          <xm:sqref>I1:I1048576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5AF1-0F1A-44E2-8A36-1E3D6294F21C}">
  <dimension ref="A1:K683"/>
  <sheetViews>
    <sheetView topLeftCell="A2" workbookViewId="0">
      <selection activeCell="G1" sqref="G1"/>
    </sheetView>
  </sheetViews>
  <sheetFormatPr defaultRowHeight="15" x14ac:dyDescent="0.25"/>
  <cols>
    <col min="1" max="1" width="14.7109375" bestFit="1" customWidth="1"/>
    <col min="2" max="2" width="10.42578125" bestFit="1" customWidth="1"/>
    <col min="3" max="3" width="7.28515625" bestFit="1" customWidth="1"/>
    <col min="4" max="4" width="10.28515625" bestFit="1" customWidth="1"/>
    <col min="5" max="5" width="11.85546875" bestFit="1" customWidth="1"/>
    <col min="6" max="6" width="40.85546875" bestFit="1" customWidth="1"/>
    <col min="7" max="7" width="20.85546875" bestFit="1" customWidth="1"/>
    <col min="8" max="8" width="11.28515625" style="2" bestFit="1" customWidth="1"/>
    <col min="9" max="9" width="19.5703125" bestFit="1" customWidth="1"/>
    <col min="10" max="10" width="14.85546875" bestFit="1" customWidth="1"/>
    <col min="11" max="11" width="14.5703125" bestFit="1" customWidth="1"/>
  </cols>
  <sheetData>
    <row r="1" spans="1:11" x14ac:dyDescent="0.25">
      <c r="A1" t="s">
        <v>1235</v>
      </c>
      <c r="B1" t="s">
        <v>1001</v>
      </c>
      <c r="C1" t="s">
        <v>1002</v>
      </c>
      <c r="D1" t="s">
        <v>1003</v>
      </c>
      <c r="E1" t="s">
        <v>1004</v>
      </c>
      <c r="F1" t="s">
        <v>1005</v>
      </c>
      <c r="G1" t="s">
        <v>1006</v>
      </c>
      <c r="H1" s="2" t="s">
        <v>1007</v>
      </c>
      <c r="I1" t="s">
        <v>1008</v>
      </c>
      <c r="J1" t="s">
        <v>1009</v>
      </c>
      <c r="K1" t="s">
        <v>1016</v>
      </c>
    </row>
    <row r="2" spans="1:11" x14ac:dyDescent="0.25">
      <c r="A2" t="s">
        <v>1</v>
      </c>
      <c r="B2" s="1">
        <v>45296</v>
      </c>
      <c r="C2">
        <v>2024</v>
      </c>
      <c r="D2" t="s">
        <v>1204</v>
      </c>
      <c r="E2" t="s">
        <v>1205</v>
      </c>
      <c r="F2" t="s">
        <v>1017</v>
      </c>
      <c r="G2" t="s">
        <v>1014</v>
      </c>
      <c r="H2" s="2">
        <v>5000</v>
      </c>
      <c r="I2" t="s">
        <v>1206</v>
      </c>
      <c r="J2" t="s">
        <v>1030</v>
      </c>
      <c r="K2" t="s">
        <v>1031</v>
      </c>
    </row>
    <row r="3" spans="1:11" x14ac:dyDescent="0.25">
      <c r="A3" t="s">
        <v>2</v>
      </c>
      <c r="B3" s="1">
        <v>45303</v>
      </c>
      <c r="C3">
        <v>2024</v>
      </c>
      <c r="D3" t="s">
        <v>1204</v>
      </c>
      <c r="E3" t="s">
        <v>1207</v>
      </c>
      <c r="F3" t="s">
        <v>1018</v>
      </c>
      <c r="G3" t="s">
        <v>1013</v>
      </c>
      <c r="H3" s="2">
        <v>1460</v>
      </c>
      <c r="I3" t="s">
        <v>1206</v>
      </c>
      <c r="J3" t="s">
        <v>1030</v>
      </c>
      <c r="K3" t="s">
        <v>1031</v>
      </c>
    </row>
    <row r="4" spans="1:11" x14ac:dyDescent="0.25">
      <c r="A4" t="s">
        <v>3</v>
      </c>
      <c r="B4" s="1">
        <v>45306</v>
      </c>
      <c r="C4">
        <v>2024</v>
      </c>
      <c r="D4" t="s">
        <v>1204</v>
      </c>
      <c r="E4" t="s">
        <v>1208</v>
      </c>
      <c r="F4" t="s">
        <v>1209</v>
      </c>
      <c r="G4" t="s">
        <v>1197</v>
      </c>
      <c r="H4" s="2">
        <v>11000</v>
      </c>
      <c r="I4" t="s">
        <v>1206</v>
      </c>
      <c r="J4" t="s">
        <v>1030</v>
      </c>
      <c r="K4" t="s">
        <v>1031</v>
      </c>
    </row>
    <row r="5" spans="1:11" x14ac:dyDescent="0.25">
      <c r="A5" t="s">
        <v>4</v>
      </c>
      <c r="B5" s="1">
        <v>45313</v>
      </c>
      <c r="C5">
        <v>2024</v>
      </c>
      <c r="D5" t="s">
        <v>1204</v>
      </c>
      <c r="E5" t="s">
        <v>1210</v>
      </c>
      <c r="F5" t="s">
        <v>1209</v>
      </c>
      <c r="G5" t="s">
        <v>1197</v>
      </c>
      <c r="H5" s="2">
        <v>11000</v>
      </c>
      <c r="I5" t="s">
        <v>1206</v>
      </c>
      <c r="J5" t="s">
        <v>1030</v>
      </c>
      <c r="K5" t="s">
        <v>1031</v>
      </c>
    </row>
    <row r="6" spans="1:11" x14ac:dyDescent="0.25">
      <c r="A6" t="s">
        <v>5</v>
      </c>
      <c r="B6" s="1">
        <v>45313</v>
      </c>
      <c r="C6">
        <v>2024</v>
      </c>
      <c r="D6" t="s">
        <v>1204</v>
      </c>
      <c r="E6" t="s">
        <v>1210</v>
      </c>
      <c r="F6" t="s">
        <v>1020</v>
      </c>
      <c r="G6" t="s">
        <v>1011</v>
      </c>
      <c r="H6" s="2">
        <v>30000</v>
      </c>
      <c r="I6" t="s">
        <v>1211</v>
      </c>
      <c r="J6" t="s">
        <v>1030</v>
      </c>
      <c r="K6" t="s">
        <v>1031</v>
      </c>
    </row>
    <row r="7" spans="1:11" x14ac:dyDescent="0.25">
      <c r="A7" t="s">
        <v>6</v>
      </c>
      <c r="B7" s="1">
        <v>45315</v>
      </c>
      <c r="C7">
        <v>2024</v>
      </c>
      <c r="D7" t="s">
        <v>1204</v>
      </c>
      <c r="E7" t="s">
        <v>1210</v>
      </c>
      <c r="F7" t="s">
        <v>1021</v>
      </c>
      <c r="G7" t="s">
        <v>1010</v>
      </c>
      <c r="H7" s="2">
        <v>3000</v>
      </c>
      <c r="I7" t="s">
        <v>1212</v>
      </c>
      <c r="J7" t="s">
        <v>1030</v>
      </c>
      <c r="K7" t="s">
        <v>1031</v>
      </c>
    </row>
    <row r="8" spans="1:11" x14ac:dyDescent="0.25">
      <c r="A8" t="s">
        <v>7</v>
      </c>
      <c r="B8" s="1">
        <v>45316</v>
      </c>
      <c r="C8">
        <v>2024</v>
      </c>
      <c r="D8" t="s">
        <v>1204</v>
      </c>
      <c r="E8" t="s">
        <v>1210</v>
      </c>
      <c r="F8" t="s">
        <v>1022</v>
      </c>
      <c r="G8" t="s">
        <v>1014</v>
      </c>
      <c r="H8" s="2">
        <v>3300</v>
      </c>
      <c r="I8" t="s">
        <v>1211</v>
      </c>
      <c r="J8" t="s">
        <v>1030</v>
      </c>
      <c r="K8" t="s">
        <v>1031</v>
      </c>
    </row>
    <row r="9" spans="1:11" x14ac:dyDescent="0.25">
      <c r="A9" t="s">
        <v>8</v>
      </c>
      <c r="B9" s="1">
        <v>45316</v>
      </c>
      <c r="C9">
        <v>2024</v>
      </c>
      <c r="D9" t="s">
        <v>1204</v>
      </c>
      <c r="E9" t="s">
        <v>1210</v>
      </c>
      <c r="F9" t="s">
        <v>1024</v>
      </c>
      <c r="G9" t="s">
        <v>1198</v>
      </c>
      <c r="H9" s="2">
        <v>14200</v>
      </c>
      <c r="I9" t="s">
        <v>1206</v>
      </c>
      <c r="J9" t="s">
        <v>1030</v>
      </c>
      <c r="K9" t="s">
        <v>1031</v>
      </c>
    </row>
    <row r="10" spans="1:11" x14ac:dyDescent="0.25">
      <c r="A10" t="s">
        <v>9</v>
      </c>
      <c r="B10" s="1">
        <v>45317</v>
      </c>
      <c r="C10">
        <v>2024</v>
      </c>
      <c r="D10" t="s">
        <v>1204</v>
      </c>
      <c r="E10" t="s">
        <v>1210</v>
      </c>
      <c r="F10" t="s">
        <v>1023</v>
      </c>
      <c r="G10" t="s">
        <v>1201</v>
      </c>
      <c r="H10" s="2">
        <v>7000</v>
      </c>
      <c r="I10" t="s">
        <v>1206</v>
      </c>
      <c r="J10" t="s">
        <v>1030</v>
      </c>
      <c r="K10" t="s">
        <v>1031</v>
      </c>
    </row>
    <row r="11" spans="1:11" x14ac:dyDescent="0.25">
      <c r="A11" t="s">
        <v>10</v>
      </c>
      <c r="B11" s="1">
        <v>45317</v>
      </c>
      <c r="C11">
        <v>2024</v>
      </c>
      <c r="D11" t="s">
        <v>1204</v>
      </c>
      <c r="E11" t="s">
        <v>1210</v>
      </c>
      <c r="F11" t="s">
        <v>1025</v>
      </c>
      <c r="G11" t="s">
        <v>1014</v>
      </c>
      <c r="H11" s="2">
        <v>5000</v>
      </c>
      <c r="I11" t="s">
        <v>1206</v>
      </c>
      <c r="J11" t="s">
        <v>1030</v>
      </c>
      <c r="K11" t="s">
        <v>1031</v>
      </c>
    </row>
    <row r="12" spans="1:11" x14ac:dyDescent="0.25">
      <c r="A12" t="s">
        <v>11</v>
      </c>
      <c r="B12" s="1">
        <v>45320</v>
      </c>
      <c r="C12">
        <v>2024</v>
      </c>
      <c r="D12" t="s">
        <v>1204</v>
      </c>
      <c r="E12" t="s">
        <v>1213</v>
      </c>
      <c r="F12" t="s">
        <v>1026</v>
      </c>
      <c r="G12" t="s">
        <v>1197</v>
      </c>
      <c r="H12" s="2">
        <v>54000</v>
      </c>
      <c r="I12" t="s">
        <v>1206</v>
      </c>
      <c r="J12" t="s">
        <v>1030</v>
      </c>
      <c r="K12" t="s">
        <v>1031</v>
      </c>
    </row>
    <row r="13" spans="1:11" x14ac:dyDescent="0.25">
      <c r="A13" t="s">
        <v>12</v>
      </c>
      <c r="B13" s="1">
        <v>45320</v>
      </c>
      <c r="C13">
        <v>2024</v>
      </c>
      <c r="D13" t="s">
        <v>1204</v>
      </c>
      <c r="E13" t="s">
        <v>1213</v>
      </c>
      <c r="F13" t="s">
        <v>1209</v>
      </c>
      <c r="G13" t="s">
        <v>1197</v>
      </c>
      <c r="H13" s="2">
        <v>11000</v>
      </c>
      <c r="I13" t="s">
        <v>1206</v>
      </c>
      <c r="J13" t="s">
        <v>1030</v>
      </c>
      <c r="K13" t="s">
        <v>1031</v>
      </c>
    </row>
    <row r="14" spans="1:11" x14ac:dyDescent="0.25">
      <c r="A14" t="s">
        <v>13</v>
      </c>
      <c r="B14" s="1">
        <v>45321</v>
      </c>
      <c r="C14">
        <v>2024</v>
      </c>
      <c r="D14" t="s">
        <v>1204</v>
      </c>
      <c r="E14" t="s">
        <v>1213</v>
      </c>
      <c r="F14" t="s">
        <v>1020</v>
      </c>
      <c r="G14" t="s">
        <v>1011</v>
      </c>
      <c r="H14" s="2">
        <v>30000</v>
      </c>
      <c r="I14" t="s">
        <v>1211</v>
      </c>
      <c r="J14" t="s">
        <v>1030</v>
      </c>
      <c r="K14" t="s">
        <v>1031</v>
      </c>
    </row>
    <row r="15" spans="1:11" x14ac:dyDescent="0.25">
      <c r="A15" t="s">
        <v>14</v>
      </c>
      <c r="B15" s="1">
        <v>45323</v>
      </c>
      <c r="C15">
        <v>2024</v>
      </c>
      <c r="D15" t="s">
        <v>1214</v>
      </c>
      <c r="E15" t="s">
        <v>1205</v>
      </c>
      <c r="F15" t="s">
        <v>1018</v>
      </c>
      <c r="G15" t="s">
        <v>1013</v>
      </c>
      <c r="H15" s="2">
        <v>5940</v>
      </c>
      <c r="I15" t="s">
        <v>1206</v>
      </c>
      <c r="J15" t="s">
        <v>1030</v>
      </c>
      <c r="K15" t="s">
        <v>1031</v>
      </c>
    </row>
    <row r="16" spans="1:11" x14ac:dyDescent="0.25">
      <c r="A16" t="s">
        <v>15</v>
      </c>
      <c r="B16" s="1">
        <v>45323</v>
      </c>
      <c r="C16">
        <v>2024</v>
      </c>
      <c r="D16" t="s">
        <v>1214</v>
      </c>
      <c r="E16" t="s">
        <v>1205</v>
      </c>
      <c r="F16" t="s">
        <v>1032</v>
      </c>
      <c r="G16" t="s">
        <v>1014</v>
      </c>
      <c r="H16" s="2">
        <v>5000</v>
      </c>
      <c r="I16" t="s">
        <v>1206</v>
      </c>
      <c r="J16" t="s">
        <v>1030</v>
      </c>
      <c r="K16" t="s">
        <v>1031</v>
      </c>
    </row>
    <row r="17" spans="1:11" x14ac:dyDescent="0.25">
      <c r="A17" t="s">
        <v>16</v>
      </c>
      <c r="B17" s="1">
        <v>45324</v>
      </c>
      <c r="C17">
        <v>2024</v>
      </c>
      <c r="D17" t="s">
        <v>1214</v>
      </c>
      <c r="E17" t="s">
        <v>1205</v>
      </c>
      <c r="F17" t="s">
        <v>1036</v>
      </c>
      <c r="G17" t="s">
        <v>1199</v>
      </c>
      <c r="H17" s="2">
        <v>18000</v>
      </c>
      <c r="I17" t="s">
        <v>1206</v>
      </c>
      <c r="J17" t="s">
        <v>1030</v>
      </c>
      <c r="K17" t="s">
        <v>1031</v>
      </c>
    </row>
    <row r="18" spans="1:11" x14ac:dyDescent="0.25">
      <c r="A18" t="s">
        <v>17</v>
      </c>
      <c r="B18" s="1">
        <v>45328</v>
      </c>
      <c r="C18">
        <v>2024</v>
      </c>
      <c r="D18" t="s">
        <v>1214</v>
      </c>
      <c r="E18" t="s">
        <v>1205</v>
      </c>
      <c r="F18" t="s">
        <v>1033</v>
      </c>
      <c r="G18" t="s">
        <v>1014</v>
      </c>
      <c r="H18" s="2">
        <v>60840</v>
      </c>
      <c r="I18" t="s">
        <v>1211</v>
      </c>
      <c r="J18" t="s">
        <v>1030</v>
      </c>
      <c r="K18" t="s">
        <v>1031</v>
      </c>
    </row>
    <row r="19" spans="1:11" x14ac:dyDescent="0.25">
      <c r="A19" t="s">
        <v>18</v>
      </c>
      <c r="B19" s="1">
        <v>45329</v>
      </c>
      <c r="C19">
        <v>2024</v>
      </c>
      <c r="D19" t="s">
        <v>1214</v>
      </c>
      <c r="E19" t="s">
        <v>1205</v>
      </c>
      <c r="F19" t="s">
        <v>1034</v>
      </c>
      <c r="G19" t="s">
        <v>1010</v>
      </c>
      <c r="H19" s="2">
        <v>2500</v>
      </c>
      <c r="I19" t="s">
        <v>1212</v>
      </c>
      <c r="J19" t="s">
        <v>1030</v>
      </c>
      <c r="K19" t="s">
        <v>1031</v>
      </c>
    </row>
    <row r="20" spans="1:11" x14ac:dyDescent="0.25">
      <c r="A20" t="s">
        <v>19</v>
      </c>
      <c r="B20" s="1">
        <v>45327</v>
      </c>
      <c r="C20">
        <v>2024</v>
      </c>
      <c r="D20" t="s">
        <v>1214</v>
      </c>
      <c r="E20" t="s">
        <v>1205</v>
      </c>
      <c r="F20" t="s">
        <v>1035</v>
      </c>
      <c r="G20" t="s">
        <v>1197</v>
      </c>
      <c r="H20" s="2">
        <v>11000</v>
      </c>
      <c r="I20" t="s">
        <v>1206</v>
      </c>
      <c r="J20" t="s">
        <v>1030</v>
      </c>
      <c r="K20" t="s">
        <v>1031</v>
      </c>
    </row>
    <row r="21" spans="1:11" x14ac:dyDescent="0.25">
      <c r="A21" t="s">
        <v>20</v>
      </c>
      <c r="B21" s="1">
        <v>45330</v>
      </c>
      <c r="C21">
        <v>2024</v>
      </c>
      <c r="D21" t="s">
        <v>1214</v>
      </c>
      <c r="E21" t="s">
        <v>1207</v>
      </c>
      <c r="F21" t="s">
        <v>1037</v>
      </c>
      <c r="G21" t="s">
        <v>1199</v>
      </c>
      <c r="H21" s="2">
        <v>20000</v>
      </c>
      <c r="I21" t="s">
        <v>1206</v>
      </c>
      <c r="J21" t="s">
        <v>1030</v>
      </c>
      <c r="K21" t="s">
        <v>1031</v>
      </c>
    </row>
    <row r="22" spans="1:11" x14ac:dyDescent="0.25">
      <c r="A22" t="s">
        <v>21</v>
      </c>
      <c r="B22" s="1">
        <v>45334</v>
      </c>
      <c r="C22">
        <v>2024</v>
      </c>
      <c r="D22" t="s">
        <v>1214</v>
      </c>
      <c r="E22" t="s">
        <v>1207</v>
      </c>
      <c r="F22" t="s">
        <v>1035</v>
      </c>
      <c r="G22" t="s">
        <v>1197</v>
      </c>
      <c r="H22" s="2">
        <v>11000</v>
      </c>
      <c r="I22" t="s">
        <v>1206</v>
      </c>
      <c r="J22" t="s">
        <v>1030</v>
      </c>
      <c r="K22" t="s">
        <v>1031</v>
      </c>
    </row>
    <row r="23" spans="1:11" x14ac:dyDescent="0.25">
      <c r="A23" t="s">
        <v>22</v>
      </c>
      <c r="B23" s="1">
        <v>45334</v>
      </c>
      <c r="C23">
        <v>2024</v>
      </c>
      <c r="D23" t="s">
        <v>1214</v>
      </c>
      <c r="E23" t="s">
        <v>1207</v>
      </c>
      <c r="F23" t="s">
        <v>1036</v>
      </c>
      <c r="G23" t="s">
        <v>1199</v>
      </c>
      <c r="H23" s="2">
        <v>20000</v>
      </c>
      <c r="I23" t="s">
        <v>1206</v>
      </c>
      <c r="J23" t="s">
        <v>1030</v>
      </c>
      <c r="K23" t="s">
        <v>1031</v>
      </c>
    </row>
    <row r="24" spans="1:11" x14ac:dyDescent="0.25">
      <c r="A24" t="s">
        <v>23</v>
      </c>
      <c r="B24" s="1">
        <v>45334</v>
      </c>
      <c r="C24">
        <v>2024</v>
      </c>
      <c r="D24" t="s">
        <v>1214</v>
      </c>
      <c r="E24" t="s">
        <v>1207</v>
      </c>
      <c r="F24" t="s">
        <v>1018</v>
      </c>
      <c r="G24" t="s">
        <v>1013</v>
      </c>
      <c r="H24" s="2">
        <v>1970</v>
      </c>
      <c r="I24" t="s">
        <v>1206</v>
      </c>
      <c r="J24" t="s">
        <v>1030</v>
      </c>
      <c r="K24" t="s">
        <v>1031</v>
      </c>
    </row>
    <row r="25" spans="1:11" x14ac:dyDescent="0.25">
      <c r="A25" t="s">
        <v>24</v>
      </c>
      <c r="B25" s="1">
        <v>45334</v>
      </c>
      <c r="C25">
        <v>2024</v>
      </c>
      <c r="D25" t="s">
        <v>1214</v>
      </c>
      <c r="E25" t="s">
        <v>1207</v>
      </c>
      <c r="F25" t="s">
        <v>1038</v>
      </c>
      <c r="G25" t="s">
        <v>1198</v>
      </c>
      <c r="H25" s="2">
        <v>12500</v>
      </c>
      <c r="I25" t="s">
        <v>1212</v>
      </c>
      <c r="J25" t="s">
        <v>1030</v>
      </c>
      <c r="K25" t="s">
        <v>1031</v>
      </c>
    </row>
    <row r="26" spans="1:11" x14ac:dyDescent="0.25">
      <c r="A26" t="s">
        <v>25</v>
      </c>
      <c r="B26" s="1">
        <v>45341</v>
      </c>
      <c r="C26">
        <v>2024</v>
      </c>
      <c r="D26" t="s">
        <v>1214</v>
      </c>
      <c r="E26" t="s">
        <v>1208</v>
      </c>
      <c r="F26" t="s">
        <v>1035</v>
      </c>
      <c r="G26" t="s">
        <v>1197</v>
      </c>
      <c r="H26" s="2">
        <v>11000</v>
      </c>
      <c r="I26" t="s">
        <v>1206</v>
      </c>
      <c r="J26" t="s">
        <v>1030</v>
      </c>
      <c r="K26" t="s">
        <v>1031</v>
      </c>
    </row>
    <row r="27" spans="1:11" x14ac:dyDescent="0.25">
      <c r="A27" t="s">
        <v>26</v>
      </c>
      <c r="B27" s="1">
        <v>45341</v>
      </c>
      <c r="C27">
        <v>2024</v>
      </c>
      <c r="D27" t="s">
        <v>1214</v>
      </c>
      <c r="E27" t="s">
        <v>1208</v>
      </c>
      <c r="F27" t="s">
        <v>1039</v>
      </c>
      <c r="G27" t="s">
        <v>1014</v>
      </c>
      <c r="H27" s="2">
        <v>3000</v>
      </c>
      <c r="I27" t="s">
        <v>1211</v>
      </c>
      <c r="J27" t="s">
        <v>1030</v>
      </c>
      <c r="K27" t="s">
        <v>1031</v>
      </c>
    </row>
    <row r="28" spans="1:11" x14ac:dyDescent="0.25">
      <c r="A28" t="s">
        <v>27</v>
      </c>
      <c r="B28" s="1">
        <v>45348</v>
      </c>
      <c r="C28">
        <v>2024</v>
      </c>
      <c r="D28" t="s">
        <v>1214</v>
      </c>
      <c r="E28" t="s">
        <v>1210</v>
      </c>
      <c r="F28" t="s">
        <v>1035</v>
      </c>
      <c r="G28" t="s">
        <v>1197</v>
      </c>
      <c r="H28" s="2">
        <v>11000</v>
      </c>
      <c r="I28" t="s">
        <v>1206</v>
      </c>
      <c r="J28" t="s">
        <v>1030</v>
      </c>
      <c r="K28" t="s">
        <v>1031</v>
      </c>
    </row>
    <row r="29" spans="1:11" x14ac:dyDescent="0.25">
      <c r="A29" t="s">
        <v>28</v>
      </c>
      <c r="B29" s="1">
        <v>45348</v>
      </c>
      <c r="C29">
        <v>2024</v>
      </c>
      <c r="D29" t="s">
        <v>1214</v>
      </c>
      <c r="E29" t="s">
        <v>1210</v>
      </c>
      <c r="F29" t="s">
        <v>1025</v>
      </c>
      <c r="G29" t="s">
        <v>1014</v>
      </c>
      <c r="H29" s="2">
        <v>5000</v>
      </c>
      <c r="I29" t="s">
        <v>1206</v>
      </c>
      <c r="J29" t="s">
        <v>1030</v>
      </c>
      <c r="K29" t="s">
        <v>1031</v>
      </c>
    </row>
    <row r="30" spans="1:11" x14ac:dyDescent="0.25">
      <c r="A30" t="s">
        <v>29</v>
      </c>
      <c r="B30" s="1">
        <v>45350</v>
      </c>
      <c r="C30">
        <v>2024</v>
      </c>
      <c r="D30" t="s">
        <v>1214</v>
      </c>
      <c r="E30" t="s">
        <v>1210</v>
      </c>
      <c r="F30" t="s">
        <v>1020</v>
      </c>
      <c r="G30" t="s">
        <v>1011</v>
      </c>
      <c r="H30" s="2">
        <v>30000</v>
      </c>
      <c r="I30" t="s">
        <v>1211</v>
      </c>
      <c r="J30" t="s">
        <v>1030</v>
      </c>
      <c r="K30" t="s">
        <v>1031</v>
      </c>
    </row>
    <row r="31" spans="1:11" x14ac:dyDescent="0.25">
      <c r="A31" t="s">
        <v>30</v>
      </c>
      <c r="B31" s="1">
        <v>45351</v>
      </c>
      <c r="C31">
        <v>2024</v>
      </c>
      <c r="D31" t="s">
        <v>1214</v>
      </c>
      <c r="E31" t="s">
        <v>1213</v>
      </c>
      <c r="F31" t="s">
        <v>1023</v>
      </c>
      <c r="G31" t="s">
        <v>1201</v>
      </c>
      <c r="H31" s="2">
        <v>7000</v>
      </c>
      <c r="I31" t="s">
        <v>1206</v>
      </c>
      <c r="J31" t="s">
        <v>1030</v>
      </c>
      <c r="K31" t="s">
        <v>1031</v>
      </c>
    </row>
    <row r="32" spans="1:11" x14ac:dyDescent="0.25">
      <c r="A32" t="s">
        <v>31</v>
      </c>
      <c r="B32" s="1">
        <v>45351</v>
      </c>
      <c r="C32">
        <v>2024</v>
      </c>
      <c r="D32" t="s">
        <v>1214</v>
      </c>
      <c r="E32" t="s">
        <v>1213</v>
      </c>
      <c r="F32" t="s">
        <v>1071</v>
      </c>
      <c r="G32" t="s">
        <v>1012</v>
      </c>
      <c r="H32" s="2">
        <v>21000</v>
      </c>
      <c r="I32" t="s">
        <v>1211</v>
      </c>
      <c r="J32" t="s">
        <v>1030</v>
      </c>
      <c r="K32" t="s">
        <v>1031</v>
      </c>
    </row>
    <row r="33" spans="1:11" x14ac:dyDescent="0.25">
      <c r="A33" t="s">
        <v>32</v>
      </c>
      <c r="B33" s="1">
        <v>45352</v>
      </c>
      <c r="C33">
        <v>2024</v>
      </c>
      <c r="D33" t="s">
        <v>1215</v>
      </c>
      <c r="E33" t="s">
        <v>1205</v>
      </c>
      <c r="F33" t="s">
        <v>1018</v>
      </c>
      <c r="G33" t="s">
        <v>1013</v>
      </c>
      <c r="H33" s="2">
        <v>7000</v>
      </c>
      <c r="I33" t="s">
        <v>1206</v>
      </c>
      <c r="J33" t="s">
        <v>1030</v>
      </c>
      <c r="K33" t="s">
        <v>1031</v>
      </c>
    </row>
    <row r="34" spans="1:11" x14ac:dyDescent="0.25">
      <c r="A34" t="s">
        <v>33</v>
      </c>
      <c r="B34" s="1">
        <v>45355</v>
      </c>
      <c r="C34">
        <v>2024</v>
      </c>
      <c r="D34" t="s">
        <v>1215</v>
      </c>
      <c r="E34" t="s">
        <v>1205</v>
      </c>
      <c r="F34" t="s">
        <v>1035</v>
      </c>
      <c r="G34" t="s">
        <v>1197</v>
      </c>
      <c r="H34" s="2">
        <v>11000</v>
      </c>
      <c r="I34" t="s">
        <v>1206</v>
      </c>
      <c r="J34" t="s">
        <v>1030</v>
      </c>
      <c r="K34" t="s">
        <v>1031</v>
      </c>
    </row>
    <row r="35" spans="1:11" x14ac:dyDescent="0.25">
      <c r="A35" t="s">
        <v>34</v>
      </c>
      <c r="B35" s="1">
        <v>45355</v>
      </c>
      <c r="C35">
        <v>2024</v>
      </c>
      <c r="D35" t="s">
        <v>1215</v>
      </c>
      <c r="E35" t="s">
        <v>1205</v>
      </c>
      <c r="F35" t="s">
        <v>1040</v>
      </c>
      <c r="G35" t="s">
        <v>1199</v>
      </c>
      <c r="H35" s="2">
        <v>18000</v>
      </c>
      <c r="I35" t="s">
        <v>1206</v>
      </c>
      <c r="J35" t="s">
        <v>1030</v>
      </c>
      <c r="K35" t="s">
        <v>1031</v>
      </c>
    </row>
    <row r="36" spans="1:11" x14ac:dyDescent="0.25">
      <c r="A36" t="s">
        <v>35</v>
      </c>
      <c r="B36" s="1">
        <v>45356</v>
      </c>
      <c r="C36">
        <v>2024</v>
      </c>
      <c r="D36" t="s">
        <v>1215</v>
      </c>
      <c r="E36" t="s">
        <v>1205</v>
      </c>
      <c r="F36" t="s">
        <v>1037</v>
      </c>
      <c r="G36" t="s">
        <v>1199</v>
      </c>
      <c r="H36" s="2">
        <v>20000</v>
      </c>
      <c r="I36" t="s">
        <v>1206</v>
      </c>
      <c r="J36" t="s">
        <v>1030</v>
      </c>
      <c r="K36" t="s">
        <v>1031</v>
      </c>
    </row>
    <row r="37" spans="1:11" x14ac:dyDescent="0.25">
      <c r="A37" t="s">
        <v>36</v>
      </c>
      <c r="B37" s="1">
        <v>45355</v>
      </c>
      <c r="C37">
        <v>2024</v>
      </c>
      <c r="D37" t="s">
        <v>1215</v>
      </c>
      <c r="E37" t="s">
        <v>1205</v>
      </c>
      <c r="F37" t="s">
        <v>1033</v>
      </c>
      <c r="G37" t="s">
        <v>1014</v>
      </c>
      <c r="H37" s="2">
        <v>64460</v>
      </c>
      <c r="I37" t="s">
        <v>1211</v>
      </c>
      <c r="J37" t="s">
        <v>1030</v>
      </c>
      <c r="K37" t="s">
        <v>1031</v>
      </c>
    </row>
    <row r="38" spans="1:11" x14ac:dyDescent="0.25">
      <c r="A38" t="s">
        <v>37</v>
      </c>
      <c r="B38" s="1">
        <v>45358</v>
      </c>
      <c r="C38">
        <v>2024</v>
      </c>
      <c r="D38" t="s">
        <v>1215</v>
      </c>
      <c r="E38" t="s">
        <v>1205</v>
      </c>
      <c r="F38" t="s">
        <v>1020</v>
      </c>
      <c r="G38" t="s">
        <v>1011</v>
      </c>
      <c r="H38" s="2">
        <v>17500</v>
      </c>
      <c r="I38" t="s">
        <v>1211</v>
      </c>
      <c r="J38" t="s">
        <v>1030</v>
      </c>
      <c r="K38" t="s">
        <v>1031</v>
      </c>
    </row>
    <row r="39" spans="1:11" x14ac:dyDescent="0.25">
      <c r="A39" t="s">
        <v>38</v>
      </c>
      <c r="B39" s="1">
        <v>45358</v>
      </c>
      <c r="C39">
        <v>2024</v>
      </c>
      <c r="D39" t="s">
        <v>1215</v>
      </c>
      <c r="E39" t="s">
        <v>1205</v>
      </c>
      <c r="F39" t="s">
        <v>1032</v>
      </c>
      <c r="G39" t="s">
        <v>1014</v>
      </c>
      <c r="H39" s="2">
        <v>5000</v>
      </c>
      <c r="I39" t="s">
        <v>1206</v>
      </c>
      <c r="J39" t="s">
        <v>1030</v>
      </c>
      <c r="K39" t="s">
        <v>1031</v>
      </c>
    </row>
    <row r="40" spans="1:11" x14ac:dyDescent="0.25">
      <c r="A40" t="s">
        <v>39</v>
      </c>
      <c r="B40" s="1">
        <v>45356</v>
      </c>
      <c r="C40">
        <v>2024</v>
      </c>
      <c r="D40" t="s">
        <v>1215</v>
      </c>
      <c r="E40" t="s">
        <v>1205</v>
      </c>
      <c r="F40" t="s">
        <v>1020</v>
      </c>
      <c r="G40" t="s">
        <v>1011</v>
      </c>
      <c r="H40" s="2">
        <v>30000</v>
      </c>
      <c r="I40" t="s">
        <v>1211</v>
      </c>
      <c r="J40" t="s">
        <v>1030</v>
      </c>
      <c r="K40" t="s">
        <v>1031</v>
      </c>
    </row>
    <row r="41" spans="1:11" x14ac:dyDescent="0.25">
      <c r="A41" t="s">
        <v>40</v>
      </c>
      <c r="B41" s="1">
        <v>45362</v>
      </c>
      <c r="C41">
        <v>2024</v>
      </c>
      <c r="D41" t="s">
        <v>1215</v>
      </c>
      <c r="E41" t="s">
        <v>1207</v>
      </c>
      <c r="F41" t="s">
        <v>1035</v>
      </c>
      <c r="G41" t="s">
        <v>1197</v>
      </c>
      <c r="H41" s="2">
        <v>11000</v>
      </c>
      <c r="I41" t="s">
        <v>1206</v>
      </c>
      <c r="J41" t="s">
        <v>1030</v>
      </c>
      <c r="K41" t="s">
        <v>1031</v>
      </c>
    </row>
    <row r="42" spans="1:11" x14ac:dyDescent="0.25">
      <c r="A42" t="s">
        <v>41</v>
      </c>
      <c r="B42" s="1">
        <v>45362</v>
      </c>
      <c r="C42">
        <v>2024</v>
      </c>
      <c r="D42" t="s">
        <v>1215</v>
      </c>
      <c r="E42" t="s">
        <v>1207</v>
      </c>
      <c r="F42" t="s">
        <v>1041</v>
      </c>
      <c r="G42" t="s">
        <v>1010</v>
      </c>
      <c r="H42" s="2">
        <v>1700</v>
      </c>
      <c r="I42" t="s">
        <v>1206</v>
      </c>
      <c r="J42" t="s">
        <v>1030</v>
      </c>
      <c r="K42" t="s">
        <v>1031</v>
      </c>
    </row>
    <row r="43" spans="1:11" x14ac:dyDescent="0.25">
      <c r="A43" t="s">
        <v>42</v>
      </c>
      <c r="B43" s="1">
        <v>45362</v>
      </c>
      <c r="C43">
        <v>2024</v>
      </c>
      <c r="D43" t="s">
        <v>1215</v>
      </c>
      <c r="E43" t="s">
        <v>1207</v>
      </c>
      <c r="F43" t="s">
        <v>1042</v>
      </c>
      <c r="G43" t="s">
        <v>1199</v>
      </c>
      <c r="H43" s="2">
        <v>20000</v>
      </c>
      <c r="I43" t="s">
        <v>1206</v>
      </c>
      <c r="J43" t="s">
        <v>1030</v>
      </c>
      <c r="K43" t="s">
        <v>1031</v>
      </c>
    </row>
    <row r="44" spans="1:11" x14ac:dyDescent="0.25">
      <c r="A44" t="s">
        <v>43</v>
      </c>
      <c r="B44" s="1">
        <v>45363</v>
      </c>
      <c r="C44">
        <v>2024</v>
      </c>
      <c r="D44" t="s">
        <v>1215</v>
      </c>
      <c r="E44" t="s">
        <v>1207</v>
      </c>
      <c r="F44" t="s">
        <v>1043</v>
      </c>
      <c r="G44" t="s">
        <v>1010</v>
      </c>
      <c r="H44" s="2">
        <v>2000</v>
      </c>
      <c r="I44" t="s">
        <v>1212</v>
      </c>
      <c r="J44" t="s">
        <v>1030</v>
      </c>
      <c r="K44" t="s">
        <v>1031</v>
      </c>
    </row>
    <row r="45" spans="1:11" x14ac:dyDescent="0.25">
      <c r="A45" t="s">
        <v>44</v>
      </c>
      <c r="B45" s="1">
        <v>45363</v>
      </c>
      <c r="C45">
        <v>2024</v>
      </c>
      <c r="D45" t="s">
        <v>1215</v>
      </c>
      <c r="E45" t="s">
        <v>1207</v>
      </c>
      <c r="F45" t="s">
        <v>1044</v>
      </c>
      <c r="G45" t="s">
        <v>1014</v>
      </c>
      <c r="H45" s="2">
        <v>6000</v>
      </c>
      <c r="I45" t="s">
        <v>1211</v>
      </c>
      <c r="J45" t="s">
        <v>1030</v>
      </c>
      <c r="K45" t="s">
        <v>1031</v>
      </c>
    </row>
    <row r="46" spans="1:11" x14ac:dyDescent="0.25">
      <c r="A46" t="s">
        <v>45</v>
      </c>
      <c r="B46" s="1">
        <v>45369</v>
      </c>
      <c r="C46">
        <v>2024</v>
      </c>
      <c r="D46" t="s">
        <v>1215</v>
      </c>
      <c r="E46" t="s">
        <v>1208</v>
      </c>
      <c r="F46" t="s">
        <v>1035</v>
      </c>
      <c r="G46" t="s">
        <v>1197</v>
      </c>
      <c r="H46" s="2">
        <v>11000</v>
      </c>
      <c r="I46" t="s">
        <v>1206</v>
      </c>
      <c r="J46" t="s">
        <v>1030</v>
      </c>
      <c r="K46" t="s">
        <v>1031</v>
      </c>
    </row>
    <row r="47" spans="1:11" x14ac:dyDescent="0.25">
      <c r="A47" t="s">
        <v>46</v>
      </c>
      <c r="B47" s="1">
        <v>45369</v>
      </c>
      <c r="C47">
        <v>2024</v>
      </c>
      <c r="D47" t="s">
        <v>1215</v>
      </c>
      <c r="E47" t="s">
        <v>1208</v>
      </c>
      <c r="F47" t="s">
        <v>1018</v>
      </c>
      <c r="G47" t="s">
        <v>1013</v>
      </c>
      <c r="H47" s="2">
        <v>2000</v>
      </c>
      <c r="I47" t="s">
        <v>1206</v>
      </c>
      <c r="J47" t="s">
        <v>1030</v>
      </c>
      <c r="K47" t="s">
        <v>1031</v>
      </c>
    </row>
    <row r="48" spans="1:11" x14ac:dyDescent="0.25">
      <c r="A48" t="s">
        <v>47</v>
      </c>
      <c r="B48" s="1">
        <v>45369</v>
      </c>
      <c r="C48">
        <v>2024</v>
      </c>
      <c r="D48" t="s">
        <v>1215</v>
      </c>
      <c r="E48" t="s">
        <v>1208</v>
      </c>
      <c r="F48" t="s">
        <v>1026</v>
      </c>
      <c r="G48" t="s">
        <v>1197</v>
      </c>
      <c r="H48" s="2">
        <v>40500</v>
      </c>
      <c r="I48" t="s">
        <v>1206</v>
      </c>
      <c r="J48" t="s">
        <v>1030</v>
      </c>
      <c r="K48" t="s">
        <v>1031</v>
      </c>
    </row>
    <row r="49" spans="1:11" x14ac:dyDescent="0.25">
      <c r="A49" t="s">
        <v>48</v>
      </c>
      <c r="B49" s="1">
        <v>45371</v>
      </c>
      <c r="C49">
        <v>2024</v>
      </c>
      <c r="D49" t="s">
        <v>1215</v>
      </c>
      <c r="E49" t="s">
        <v>1208</v>
      </c>
      <c r="F49" t="s">
        <v>1041</v>
      </c>
      <c r="G49" t="s">
        <v>1010</v>
      </c>
      <c r="H49" s="2">
        <v>1500</v>
      </c>
      <c r="I49" t="s">
        <v>1212</v>
      </c>
      <c r="J49" t="s">
        <v>1030</v>
      </c>
      <c r="K49" t="s">
        <v>1031</v>
      </c>
    </row>
    <row r="50" spans="1:11" x14ac:dyDescent="0.25">
      <c r="A50" t="s">
        <v>49</v>
      </c>
      <c r="B50" s="1">
        <v>45372</v>
      </c>
      <c r="C50">
        <v>2024</v>
      </c>
      <c r="D50" t="s">
        <v>1215</v>
      </c>
      <c r="E50" t="s">
        <v>1208</v>
      </c>
      <c r="F50" t="s">
        <v>1046</v>
      </c>
      <c r="G50" t="s">
        <v>1014</v>
      </c>
      <c r="H50" s="2">
        <v>3600</v>
      </c>
      <c r="I50" t="s">
        <v>1211</v>
      </c>
      <c r="J50" t="s">
        <v>1030</v>
      </c>
      <c r="K50" t="s">
        <v>1031</v>
      </c>
    </row>
    <row r="51" spans="1:11" x14ac:dyDescent="0.25">
      <c r="A51" t="s">
        <v>50</v>
      </c>
      <c r="B51" s="1">
        <v>45373</v>
      </c>
      <c r="C51">
        <v>2024</v>
      </c>
      <c r="D51" t="s">
        <v>1215</v>
      </c>
      <c r="E51" t="s">
        <v>1210</v>
      </c>
      <c r="F51" t="s">
        <v>1047</v>
      </c>
      <c r="G51" t="s">
        <v>1198</v>
      </c>
      <c r="H51" s="2">
        <v>5000</v>
      </c>
      <c r="I51" t="s">
        <v>1206</v>
      </c>
      <c r="J51" t="s">
        <v>1030</v>
      </c>
      <c r="K51" t="s">
        <v>1031</v>
      </c>
    </row>
    <row r="52" spans="1:11" x14ac:dyDescent="0.25">
      <c r="A52" t="s">
        <v>51</v>
      </c>
      <c r="B52" s="1">
        <v>45376</v>
      </c>
      <c r="C52">
        <v>2024</v>
      </c>
      <c r="D52" t="s">
        <v>1215</v>
      </c>
      <c r="E52" t="s">
        <v>1210</v>
      </c>
      <c r="F52" t="s">
        <v>1035</v>
      </c>
      <c r="G52" t="s">
        <v>1197</v>
      </c>
      <c r="H52" s="2">
        <v>11000</v>
      </c>
      <c r="I52" t="s">
        <v>1206</v>
      </c>
      <c r="J52" t="s">
        <v>1030</v>
      </c>
      <c r="K52" t="s">
        <v>1031</v>
      </c>
    </row>
    <row r="53" spans="1:11" x14ac:dyDescent="0.25">
      <c r="A53" t="s">
        <v>52</v>
      </c>
      <c r="B53" s="1">
        <v>45376</v>
      </c>
      <c r="C53">
        <v>2024</v>
      </c>
      <c r="D53" t="s">
        <v>1215</v>
      </c>
      <c r="E53" t="s">
        <v>1210</v>
      </c>
      <c r="F53" t="s">
        <v>1025</v>
      </c>
      <c r="G53" t="s">
        <v>1014</v>
      </c>
      <c r="H53" s="2">
        <v>5000</v>
      </c>
      <c r="I53" t="s">
        <v>1206</v>
      </c>
      <c r="J53" t="s">
        <v>1030</v>
      </c>
      <c r="K53" t="s">
        <v>1031</v>
      </c>
    </row>
    <row r="54" spans="1:11" x14ac:dyDescent="0.25">
      <c r="A54" t="s">
        <v>53</v>
      </c>
      <c r="B54" s="1">
        <v>45377</v>
      </c>
      <c r="C54">
        <v>2024</v>
      </c>
      <c r="D54" t="s">
        <v>1215</v>
      </c>
      <c r="E54" t="s">
        <v>1210</v>
      </c>
      <c r="F54" t="s">
        <v>1048</v>
      </c>
      <c r="G54" t="s">
        <v>1198</v>
      </c>
      <c r="H54" s="2">
        <v>94000</v>
      </c>
      <c r="I54" t="s">
        <v>1211</v>
      </c>
      <c r="J54" t="s">
        <v>1030</v>
      </c>
      <c r="K54" t="s">
        <v>1031</v>
      </c>
    </row>
    <row r="55" spans="1:11" x14ac:dyDescent="0.25">
      <c r="A55" t="s">
        <v>54</v>
      </c>
      <c r="B55" s="1">
        <v>45379</v>
      </c>
      <c r="C55">
        <v>2024</v>
      </c>
      <c r="D55" t="s">
        <v>1215</v>
      </c>
      <c r="E55" t="s">
        <v>1210</v>
      </c>
      <c r="F55" t="s">
        <v>1023</v>
      </c>
      <c r="G55" t="s">
        <v>1201</v>
      </c>
      <c r="H55" s="2">
        <v>7000</v>
      </c>
      <c r="I55" t="s">
        <v>1206</v>
      </c>
      <c r="J55" t="s">
        <v>1030</v>
      </c>
      <c r="K55" t="s">
        <v>1031</v>
      </c>
    </row>
    <row r="56" spans="1:11" x14ac:dyDescent="0.25">
      <c r="A56" t="s">
        <v>55</v>
      </c>
      <c r="B56" s="1">
        <v>45380</v>
      </c>
      <c r="C56">
        <v>2024</v>
      </c>
      <c r="D56" t="s">
        <v>1215</v>
      </c>
      <c r="E56" t="s">
        <v>1213</v>
      </c>
      <c r="F56" t="s">
        <v>1018</v>
      </c>
      <c r="G56" t="s">
        <v>1013</v>
      </c>
      <c r="H56" s="2">
        <v>5000</v>
      </c>
      <c r="I56" t="s">
        <v>1206</v>
      </c>
      <c r="J56" t="s">
        <v>1030</v>
      </c>
      <c r="K56" t="s">
        <v>1031</v>
      </c>
    </row>
    <row r="57" spans="1:11" x14ac:dyDescent="0.25">
      <c r="A57" t="s">
        <v>56</v>
      </c>
      <c r="B57" s="1">
        <v>45384</v>
      </c>
      <c r="C57">
        <v>2024</v>
      </c>
      <c r="D57" t="s">
        <v>1216</v>
      </c>
      <c r="E57" t="s">
        <v>1205</v>
      </c>
      <c r="F57" t="s">
        <v>1049</v>
      </c>
      <c r="G57" t="s">
        <v>1199</v>
      </c>
      <c r="H57" s="2">
        <v>20000</v>
      </c>
      <c r="I57" t="s">
        <v>1206</v>
      </c>
      <c r="J57" t="s">
        <v>1030</v>
      </c>
      <c r="K57" t="s">
        <v>1031</v>
      </c>
    </row>
    <row r="58" spans="1:11" x14ac:dyDescent="0.25">
      <c r="A58" t="s">
        <v>57</v>
      </c>
      <c r="B58" s="1">
        <v>45384</v>
      </c>
      <c r="C58">
        <v>2024</v>
      </c>
      <c r="D58" t="s">
        <v>1216</v>
      </c>
      <c r="E58" t="s">
        <v>1205</v>
      </c>
      <c r="F58" t="s">
        <v>1032</v>
      </c>
      <c r="G58" t="s">
        <v>1014</v>
      </c>
      <c r="H58" s="2">
        <v>5000</v>
      </c>
      <c r="I58" t="s">
        <v>1206</v>
      </c>
      <c r="J58" t="s">
        <v>1030</v>
      </c>
      <c r="K58" t="s">
        <v>1031</v>
      </c>
    </row>
    <row r="59" spans="1:11" x14ac:dyDescent="0.25">
      <c r="A59" t="s">
        <v>58</v>
      </c>
      <c r="B59" s="1">
        <v>45384</v>
      </c>
      <c r="C59">
        <v>2024</v>
      </c>
      <c r="D59" t="s">
        <v>1216</v>
      </c>
      <c r="E59" t="s">
        <v>1205</v>
      </c>
      <c r="F59" t="s">
        <v>1050</v>
      </c>
      <c r="G59" t="s">
        <v>1198</v>
      </c>
      <c r="H59" s="2">
        <v>2000</v>
      </c>
      <c r="I59" t="s">
        <v>1206</v>
      </c>
      <c r="J59" t="s">
        <v>1030</v>
      </c>
      <c r="K59" t="s">
        <v>1031</v>
      </c>
    </row>
    <row r="60" spans="1:11" x14ac:dyDescent="0.25">
      <c r="A60" t="s">
        <v>59</v>
      </c>
      <c r="B60" s="1">
        <v>45384</v>
      </c>
      <c r="C60">
        <v>2024</v>
      </c>
      <c r="D60" t="s">
        <v>1216</v>
      </c>
      <c r="E60" t="s">
        <v>1205</v>
      </c>
      <c r="F60" t="s">
        <v>1209</v>
      </c>
      <c r="G60" t="s">
        <v>1197</v>
      </c>
      <c r="H60" s="2">
        <v>11000</v>
      </c>
      <c r="I60" t="s">
        <v>1206</v>
      </c>
      <c r="J60" t="s">
        <v>1030</v>
      </c>
      <c r="K60" t="s">
        <v>1031</v>
      </c>
    </row>
    <row r="61" spans="1:11" x14ac:dyDescent="0.25">
      <c r="A61" t="s">
        <v>60</v>
      </c>
      <c r="B61" s="1">
        <v>45385</v>
      </c>
      <c r="C61">
        <v>2024</v>
      </c>
      <c r="D61" t="s">
        <v>1216</v>
      </c>
      <c r="E61" t="s">
        <v>1205</v>
      </c>
      <c r="F61" t="s">
        <v>1037</v>
      </c>
      <c r="G61" t="s">
        <v>1199</v>
      </c>
      <c r="H61" s="2">
        <v>18000</v>
      </c>
      <c r="I61" t="s">
        <v>1206</v>
      </c>
      <c r="J61" t="s">
        <v>1030</v>
      </c>
      <c r="K61" t="s">
        <v>1031</v>
      </c>
    </row>
    <row r="62" spans="1:11" x14ac:dyDescent="0.25">
      <c r="A62" t="s">
        <v>61</v>
      </c>
      <c r="B62" s="1">
        <v>45385</v>
      </c>
      <c r="C62">
        <v>2024</v>
      </c>
      <c r="D62" t="s">
        <v>1216</v>
      </c>
      <c r="E62" t="s">
        <v>1205</v>
      </c>
      <c r="F62" t="s">
        <v>1018</v>
      </c>
      <c r="G62" t="s">
        <v>1013</v>
      </c>
      <c r="H62" s="2">
        <v>2000</v>
      </c>
      <c r="I62" t="s">
        <v>1206</v>
      </c>
      <c r="J62" t="s">
        <v>1030</v>
      </c>
      <c r="K62" t="s">
        <v>1031</v>
      </c>
    </row>
    <row r="63" spans="1:11" x14ac:dyDescent="0.25">
      <c r="A63" t="s">
        <v>62</v>
      </c>
      <c r="B63" s="1">
        <v>45386</v>
      </c>
      <c r="C63">
        <v>2024</v>
      </c>
      <c r="D63" t="s">
        <v>1216</v>
      </c>
      <c r="E63" t="s">
        <v>1205</v>
      </c>
      <c r="F63" t="s">
        <v>1033</v>
      </c>
      <c r="G63" t="s">
        <v>1014</v>
      </c>
      <c r="H63" s="2">
        <v>72320</v>
      </c>
      <c r="I63" t="s">
        <v>1211</v>
      </c>
      <c r="J63" t="s">
        <v>1030</v>
      </c>
      <c r="K63" t="s">
        <v>1031</v>
      </c>
    </row>
    <row r="64" spans="1:11" x14ac:dyDescent="0.25">
      <c r="A64" t="s">
        <v>63</v>
      </c>
      <c r="B64" s="1">
        <v>45387</v>
      </c>
      <c r="C64">
        <v>2024</v>
      </c>
      <c r="D64" t="s">
        <v>1216</v>
      </c>
      <c r="E64" t="s">
        <v>1205</v>
      </c>
      <c r="F64" t="s">
        <v>1099</v>
      </c>
      <c r="G64" t="s">
        <v>1198</v>
      </c>
      <c r="H64" s="2">
        <v>25000</v>
      </c>
      <c r="I64" t="s">
        <v>1206</v>
      </c>
      <c r="J64" t="s">
        <v>1030</v>
      </c>
      <c r="K64" t="s">
        <v>1031</v>
      </c>
    </row>
    <row r="65" spans="1:11" x14ac:dyDescent="0.25">
      <c r="A65" t="s">
        <v>64</v>
      </c>
      <c r="B65" s="1">
        <v>45390</v>
      </c>
      <c r="C65">
        <v>2024</v>
      </c>
      <c r="D65" t="s">
        <v>1216</v>
      </c>
      <c r="E65" t="s">
        <v>1207</v>
      </c>
      <c r="F65" t="s">
        <v>1209</v>
      </c>
      <c r="G65" t="s">
        <v>1197</v>
      </c>
      <c r="H65" s="2">
        <v>11000</v>
      </c>
      <c r="I65" t="s">
        <v>1206</v>
      </c>
      <c r="J65" t="s">
        <v>1030</v>
      </c>
      <c r="K65" t="s">
        <v>1031</v>
      </c>
    </row>
    <row r="66" spans="1:11" x14ac:dyDescent="0.25">
      <c r="A66" t="s">
        <v>65</v>
      </c>
      <c r="B66" s="1">
        <v>45394</v>
      </c>
      <c r="C66">
        <v>2024</v>
      </c>
      <c r="D66" t="s">
        <v>1216</v>
      </c>
      <c r="E66" t="s">
        <v>1207</v>
      </c>
      <c r="F66" t="s">
        <v>1052</v>
      </c>
      <c r="G66" t="s">
        <v>1198</v>
      </c>
      <c r="H66" s="2">
        <v>6000</v>
      </c>
      <c r="I66" t="s">
        <v>1212</v>
      </c>
      <c r="J66" t="s">
        <v>1030</v>
      </c>
      <c r="K66" t="s">
        <v>1031</v>
      </c>
    </row>
    <row r="67" spans="1:11" x14ac:dyDescent="0.25">
      <c r="A67" t="s">
        <v>66</v>
      </c>
      <c r="B67" s="1">
        <v>45397</v>
      </c>
      <c r="C67">
        <v>2024</v>
      </c>
      <c r="D67" t="s">
        <v>1216</v>
      </c>
      <c r="E67" t="s">
        <v>1208</v>
      </c>
      <c r="F67" t="s">
        <v>1209</v>
      </c>
      <c r="G67" t="s">
        <v>1197</v>
      </c>
      <c r="H67" s="2">
        <v>11000</v>
      </c>
      <c r="I67" t="s">
        <v>1206</v>
      </c>
      <c r="J67" t="s">
        <v>1030</v>
      </c>
      <c r="K67" t="s">
        <v>1031</v>
      </c>
    </row>
    <row r="68" spans="1:11" x14ac:dyDescent="0.25">
      <c r="A68" t="s">
        <v>67</v>
      </c>
      <c r="B68" s="1">
        <v>45397</v>
      </c>
      <c r="C68">
        <v>2024</v>
      </c>
      <c r="D68" t="s">
        <v>1216</v>
      </c>
      <c r="E68" t="s">
        <v>1208</v>
      </c>
      <c r="F68" t="s">
        <v>1053</v>
      </c>
      <c r="G68" t="s">
        <v>1199</v>
      </c>
      <c r="H68" s="2">
        <v>20000</v>
      </c>
      <c r="I68" t="s">
        <v>1206</v>
      </c>
      <c r="J68" t="s">
        <v>1030</v>
      </c>
      <c r="K68" t="s">
        <v>1031</v>
      </c>
    </row>
    <row r="69" spans="1:11" x14ac:dyDescent="0.25">
      <c r="A69" t="s">
        <v>68</v>
      </c>
      <c r="B69" s="1">
        <v>45403</v>
      </c>
      <c r="C69">
        <v>2024</v>
      </c>
      <c r="D69" t="s">
        <v>1216</v>
      </c>
      <c r="E69" t="s">
        <v>1208</v>
      </c>
      <c r="F69" t="s">
        <v>1018</v>
      </c>
      <c r="G69" t="s">
        <v>1013</v>
      </c>
      <c r="H69" s="2">
        <v>1000</v>
      </c>
      <c r="I69" t="s">
        <v>1206</v>
      </c>
      <c r="J69" t="s">
        <v>1030</v>
      </c>
      <c r="K69" t="s">
        <v>1031</v>
      </c>
    </row>
    <row r="70" spans="1:11" x14ac:dyDescent="0.25">
      <c r="A70" t="s">
        <v>69</v>
      </c>
      <c r="B70" s="1">
        <v>45404</v>
      </c>
      <c r="C70">
        <v>2024</v>
      </c>
      <c r="D70" t="s">
        <v>1216</v>
      </c>
      <c r="E70" t="s">
        <v>1210</v>
      </c>
      <c r="F70" t="s">
        <v>1035</v>
      </c>
      <c r="G70" t="s">
        <v>1197</v>
      </c>
      <c r="H70" s="2">
        <v>11000</v>
      </c>
      <c r="I70" t="s">
        <v>1206</v>
      </c>
      <c r="J70" t="s">
        <v>1030</v>
      </c>
      <c r="K70" t="s">
        <v>1031</v>
      </c>
    </row>
    <row r="71" spans="1:11" x14ac:dyDescent="0.25">
      <c r="A71" t="s">
        <v>70</v>
      </c>
      <c r="B71" s="1">
        <v>45405</v>
      </c>
      <c r="C71">
        <v>2024</v>
      </c>
      <c r="D71" t="s">
        <v>1216</v>
      </c>
      <c r="E71" t="s">
        <v>1210</v>
      </c>
      <c r="F71" t="s">
        <v>1054</v>
      </c>
      <c r="G71" t="s">
        <v>1010</v>
      </c>
      <c r="H71" s="2">
        <v>27483</v>
      </c>
      <c r="I71" t="s">
        <v>1211</v>
      </c>
      <c r="J71" t="s">
        <v>1030</v>
      </c>
      <c r="K71" t="s">
        <v>1031</v>
      </c>
    </row>
    <row r="72" spans="1:11" x14ac:dyDescent="0.25">
      <c r="A72" t="s">
        <v>71</v>
      </c>
      <c r="B72" s="1">
        <v>45406</v>
      </c>
      <c r="C72">
        <v>2024</v>
      </c>
      <c r="D72" t="s">
        <v>1216</v>
      </c>
      <c r="E72" t="s">
        <v>1210</v>
      </c>
      <c r="F72" t="s">
        <v>1046</v>
      </c>
      <c r="G72" t="s">
        <v>1014</v>
      </c>
      <c r="H72" s="2">
        <v>3450</v>
      </c>
      <c r="I72" t="s">
        <v>1211</v>
      </c>
      <c r="J72" t="s">
        <v>1030</v>
      </c>
      <c r="K72" t="s">
        <v>1031</v>
      </c>
    </row>
    <row r="73" spans="1:11" x14ac:dyDescent="0.25">
      <c r="A73" t="s">
        <v>72</v>
      </c>
      <c r="B73" s="1">
        <v>45408</v>
      </c>
      <c r="C73">
        <v>2024</v>
      </c>
      <c r="D73" t="s">
        <v>1216</v>
      </c>
      <c r="E73" t="s">
        <v>1210</v>
      </c>
      <c r="F73" t="s">
        <v>1055</v>
      </c>
      <c r="G73" t="s">
        <v>1197</v>
      </c>
      <c r="H73" s="2">
        <v>26600</v>
      </c>
      <c r="I73" t="s">
        <v>1206</v>
      </c>
      <c r="J73" t="s">
        <v>1030</v>
      </c>
      <c r="K73" t="s">
        <v>1031</v>
      </c>
    </row>
    <row r="74" spans="1:11" x14ac:dyDescent="0.25">
      <c r="A74" t="s">
        <v>73</v>
      </c>
      <c r="B74" s="1">
        <v>45411</v>
      </c>
      <c r="C74">
        <v>2024</v>
      </c>
      <c r="D74" t="s">
        <v>1216</v>
      </c>
      <c r="E74" t="s">
        <v>1213</v>
      </c>
      <c r="F74" t="s">
        <v>1023</v>
      </c>
      <c r="G74" t="s">
        <v>1201</v>
      </c>
      <c r="H74" s="2">
        <v>7000</v>
      </c>
      <c r="I74" t="s">
        <v>1206</v>
      </c>
      <c r="J74" t="s">
        <v>1030</v>
      </c>
      <c r="K74" t="s">
        <v>1031</v>
      </c>
    </row>
    <row r="75" spans="1:11" x14ac:dyDescent="0.25">
      <c r="A75" t="s">
        <v>74</v>
      </c>
      <c r="B75" s="1">
        <v>45411</v>
      </c>
      <c r="C75">
        <v>2024</v>
      </c>
      <c r="D75" t="s">
        <v>1216</v>
      </c>
      <c r="E75" t="s">
        <v>1213</v>
      </c>
      <c r="F75" t="s">
        <v>1025</v>
      </c>
      <c r="G75" t="s">
        <v>1014</v>
      </c>
      <c r="H75" s="2">
        <v>5000</v>
      </c>
      <c r="I75" t="s">
        <v>1206</v>
      </c>
      <c r="J75" t="s">
        <v>1030</v>
      </c>
      <c r="K75" t="s">
        <v>1031</v>
      </c>
    </row>
    <row r="76" spans="1:11" x14ac:dyDescent="0.25">
      <c r="A76" t="s">
        <v>75</v>
      </c>
      <c r="B76" s="1">
        <v>45411</v>
      </c>
      <c r="C76">
        <v>2024</v>
      </c>
      <c r="D76" t="s">
        <v>1216</v>
      </c>
      <c r="E76" t="s">
        <v>1213</v>
      </c>
      <c r="F76" t="s">
        <v>1018</v>
      </c>
      <c r="G76" t="s">
        <v>1013</v>
      </c>
      <c r="H76" s="2">
        <v>5000</v>
      </c>
      <c r="I76" t="s">
        <v>1206</v>
      </c>
      <c r="J76" t="s">
        <v>1030</v>
      </c>
      <c r="K76" t="s">
        <v>1031</v>
      </c>
    </row>
    <row r="77" spans="1:11" x14ac:dyDescent="0.25">
      <c r="A77" t="s">
        <v>76</v>
      </c>
      <c r="B77" s="1">
        <v>45411</v>
      </c>
      <c r="C77">
        <v>2024</v>
      </c>
      <c r="D77" t="s">
        <v>1216</v>
      </c>
      <c r="E77" t="s">
        <v>1213</v>
      </c>
      <c r="F77" t="s">
        <v>1209</v>
      </c>
      <c r="G77" t="s">
        <v>1197</v>
      </c>
      <c r="H77" s="2">
        <v>11000</v>
      </c>
      <c r="I77" t="s">
        <v>1206</v>
      </c>
      <c r="J77" t="s">
        <v>1030</v>
      </c>
      <c r="K77" t="s">
        <v>1031</v>
      </c>
    </row>
    <row r="78" spans="1:11" x14ac:dyDescent="0.25">
      <c r="A78" t="s">
        <v>77</v>
      </c>
      <c r="B78" s="1">
        <v>45411</v>
      </c>
      <c r="C78">
        <v>2024</v>
      </c>
      <c r="D78" t="s">
        <v>1216</v>
      </c>
      <c r="E78" t="s">
        <v>1213</v>
      </c>
      <c r="F78" t="s">
        <v>1023</v>
      </c>
      <c r="G78" t="s">
        <v>1201</v>
      </c>
      <c r="H78" s="2">
        <v>7000</v>
      </c>
      <c r="I78" t="s">
        <v>1206</v>
      </c>
      <c r="J78" t="s">
        <v>1030</v>
      </c>
      <c r="K78" t="s">
        <v>1031</v>
      </c>
    </row>
    <row r="79" spans="1:11" x14ac:dyDescent="0.25">
      <c r="A79" t="s">
        <v>78</v>
      </c>
      <c r="B79" s="1">
        <v>45411</v>
      </c>
      <c r="C79">
        <v>2024</v>
      </c>
      <c r="D79" t="s">
        <v>1216</v>
      </c>
      <c r="E79" t="s">
        <v>1213</v>
      </c>
      <c r="F79" t="s">
        <v>1025</v>
      </c>
      <c r="G79" t="s">
        <v>1014</v>
      </c>
      <c r="H79" s="2">
        <v>5000</v>
      </c>
      <c r="I79" t="s">
        <v>1206</v>
      </c>
      <c r="J79" t="s">
        <v>1030</v>
      </c>
      <c r="K79" t="s">
        <v>1031</v>
      </c>
    </row>
    <row r="80" spans="1:11" x14ac:dyDescent="0.25">
      <c r="A80" t="s">
        <v>79</v>
      </c>
      <c r="B80" s="1">
        <v>45411</v>
      </c>
      <c r="C80">
        <v>2024</v>
      </c>
      <c r="D80" t="s">
        <v>1216</v>
      </c>
      <c r="E80" t="s">
        <v>1213</v>
      </c>
      <c r="F80" t="s">
        <v>1209</v>
      </c>
      <c r="G80" t="s">
        <v>1197</v>
      </c>
      <c r="H80" s="2">
        <v>11000</v>
      </c>
      <c r="I80" t="s">
        <v>1206</v>
      </c>
      <c r="J80" t="s">
        <v>1030</v>
      </c>
      <c r="K80" t="s">
        <v>1031</v>
      </c>
    </row>
    <row r="81" spans="1:11" x14ac:dyDescent="0.25">
      <c r="A81" t="s">
        <v>80</v>
      </c>
      <c r="B81" s="1">
        <v>45411</v>
      </c>
      <c r="C81">
        <v>2024</v>
      </c>
      <c r="D81" t="s">
        <v>1216</v>
      </c>
      <c r="E81" t="s">
        <v>1213</v>
      </c>
      <c r="F81" t="s">
        <v>1018</v>
      </c>
      <c r="G81" t="s">
        <v>1013</v>
      </c>
      <c r="H81" s="2">
        <v>5000</v>
      </c>
      <c r="I81" t="s">
        <v>1206</v>
      </c>
      <c r="J81" t="s">
        <v>1030</v>
      </c>
      <c r="K81" t="s">
        <v>1031</v>
      </c>
    </row>
    <row r="82" spans="1:11" x14ac:dyDescent="0.25">
      <c r="A82" t="s">
        <v>81</v>
      </c>
      <c r="B82" s="1">
        <v>45414</v>
      </c>
      <c r="C82">
        <v>2024</v>
      </c>
      <c r="D82" t="s">
        <v>1217</v>
      </c>
      <c r="E82" t="s">
        <v>1205</v>
      </c>
      <c r="F82" t="s">
        <v>1049</v>
      </c>
      <c r="G82" t="s">
        <v>1199</v>
      </c>
      <c r="H82" s="2">
        <v>18000</v>
      </c>
      <c r="I82" t="s">
        <v>1206</v>
      </c>
      <c r="J82" t="s">
        <v>1030</v>
      </c>
      <c r="K82" t="s">
        <v>1031</v>
      </c>
    </row>
    <row r="83" spans="1:11" x14ac:dyDescent="0.25">
      <c r="A83" t="s">
        <v>82</v>
      </c>
      <c r="B83" s="1">
        <v>45414</v>
      </c>
      <c r="C83">
        <v>2024</v>
      </c>
      <c r="D83" t="s">
        <v>1217</v>
      </c>
      <c r="E83" t="s">
        <v>1205</v>
      </c>
      <c r="F83" t="s">
        <v>1033</v>
      </c>
      <c r="G83" t="s">
        <v>1014</v>
      </c>
      <c r="H83" s="2">
        <v>76030</v>
      </c>
      <c r="I83" t="s">
        <v>1206</v>
      </c>
      <c r="J83" t="s">
        <v>1030</v>
      </c>
      <c r="K83" t="s">
        <v>1031</v>
      </c>
    </row>
    <row r="84" spans="1:11" x14ac:dyDescent="0.25">
      <c r="A84" t="s">
        <v>83</v>
      </c>
      <c r="B84" s="1">
        <v>45418</v>
      </c>
      <c r="C84">
        <v>2024</v>
      </c>
      <c r="D84" t="s">
        <v>1217</v>
      </c>
      <c r="E84" t="s">
        <v>1205</v>
      </c>
      <c r="F84" t="s">
        <v>1035</v>
      </c>
      <c r="G84" t="s">
        <v>1197</v>
      </c>
      <c r="H84" s="2">
        <v>11000</v>
      </c>
      <c r="I84" t="s">
        <v>1206</v>
      </c>
      <c r="J84" t="s">
        <v>1030</v>
      </c>
      <c r="K84" t="s">
        <v>1031</v>
      </c>
    </row>
    <row r="85" spans="1:11" x14ac:dyDescent="0.25">
      <c r="A85" t="s">
        <v>84</v>
      </c>
      <c r="B85" s="1">
        <v>45418</v>
      </c>
      <c r="C85">
        <v>2024</v>
      </c>
      <c r="D85" t="s">
        <v>1217</v>
      </c>
      <c r="E85" t="s">
        <v>1205</v>
      </c>
      <c r="F85" t="s">
        <v>1056</v>
      </c>
      <c r="G85" t="s">
        <v>1198</v>
      </c>
      <c r="H85" s="2">
        <v>8000</v>
      </c>
      <c r="I85" t="s">
        <v>1212</v>
      </c>
      <c r="J85" t="s">
        <v>1030</v>
      </c>
      <c r="K85" t="s">
        <v>1031</v>
      </c>
    </row>
    <row r="86" spans="1:11" x14ac:dyDescent="0.25">
      <c r="A86" t="s">
        <v>85</v>
      </c>
      <c r="B86" s="1">
        <v>45419</v>
      </c>
      <c r="C86">
        <v>2024</v>
      </c>
      <c r="D86" t="s">
        <v>1217</v>
      </c>
      <c r="E86" t="s">
        <v>1205</v>
      </c>
      <c r="F86" t="s">
        <v>1018</v>
      </c>
      <c r="G86" t="s">
        <v>1013</v>
      </c>
      <c r="H86" s="2">
        <v>2000</v>
      </c>
      <c r="I86" t="s">
        <v>1206</v>
      </c>
      <c r="J86" t="s">
        <v>1030</v>
      </c>
      <c r="K86" t="s">
        <v>1031</v>
      </c>
    </row>
    <row r="87" spans="1:11" x14ac:dyDescent="0.25">
      <c r="A87" t="s">
        <v>86</v>
      </c>
      <c r="B87" s="1">
        <v>45419</v>
      </c>
      <c r="C87">
        <v>2024</v>
      </c>
      <c r="D87" t="s">
        <v>1217</v>
      </c>
      <c r="E87" t="s">
        <v>1205</v>
      </c>
      <c r="F87" t="s">
        <v>1057</v>
      </c>
      <c r="G87" t="s">
        <v>1010</v>
      </c>
      <c r="H87" s="2">
        <v>90000</v>
      </c>
      <c r="I87" t="s">
        <v>1206</v>
      </c>
      <c r="J87" t="s">
        <v>1030</v>
      </c>
      <c r="K87" t="s">
        <v>1031</v>
      </c>
    </row>
    <row r="88" spans="1:11" x14ac:dyDescent="0.25">
      <c r="A88" t="s">
        <v>87</v>
      </c>
      <c r="B88" s="1">
        <v>45419</v>
      </c>
      <c r="C88">
        <v>2024</v>
      </c>
      <c r="D88" t="s">
        <v>1217</v>
      </c>
      <c r="E88" t="s">
        <v>1205</v>
      </c>
      <c r="F88" t="s">
        <v>1218</v>
      </c>
      <c r="G88" t="s">
        <v>1199</v>
      </c>
      <c r="H88" s="2">
        <v>20000</v>
      </c>
      <c r="I88" t="s">
        <v>1206</v>
      </c>
      <c r="J88" t="s">
        <v>1030</v>
      </c>
      <c r="K88" t="s">
        <v>1031</v>
      </c>
    </row>
    <row r="89" spans="1:11" x14ac:dyDescent="0.25">
      <c r="A89" t="s">
        <v>88</v>
      </c>
      <c r="B89" s="1">
        <v>45425</v>
      </c>
      <c r="C89">
        <v>2024</v>
      </c>
      <c r="D89" t="s">
        <v>1217</v>
      </c>
      <c r="E89" t="s">
        <v>1207</v>
      </c>
      <c r="F89" t="s">
        <v>1059</v>
      </c>
      <c r="G89" t="s">
        <v>1198</v>
      </c>
      <c r="H89" s="2">
        <v>8000</v>
      </c>
      <c r="I89" t="s">
        <v>1212</v>
      </c>
      <c r="J89" t="s">
        <v>1030</v>
      </c>
      <c r="K89" t="s">
        <v>1031</v>
      </c>
    </row>
    <row r="90" spans="1:11" x14ac:dyDescent="0.25">
      <c r="A90" t="s">
        <v>89</v>
      </c>
      <c r="B90" s="1">
        <v>45425</v>
      </c>
      <c r="C90">
        <v>2024</v>
      </c>
      <c r="D90" t="s">
        <v>1217</v>
      </c>
      <c r="E90" t="s">
        <v>1207</v>
      </c>
      <c r="F90" t="s">
        <v>1060</v>
      </c>
      <c r="G90" t="s">
        <v>1015</v>
      </c>
      <c r="H90" s="2">
        <v>2500</v>
      </c>
      <c r="I90" t="s">
        <v>1212</v>
      </c>
      <c r="J90" t="s">
        <v>1030</v>
      </c>
      <c r="K90" t="s">
        <v>1031</v>
      </c>
    </row>
    <row r="91" spans="1:11" x14ac:dyDescent="0.25">
      <c r="A91" t="s">
        <v>90</v>
      </c>
      <c r="B91" s="1">
        <v>45425</v>
      </c>
      <c r="C91">
        <v>2024</v>
      </c>
      <c r="D91" t="s">
        <v>1217</v>
      </c>
      <c r="E91" t="s">
        <v>1207</v>
      </c>
      <c r="F91" t="s">
        <v>1035</v>
      </c>
      <c r="G91" t="s">
        <v>1197</v>
      </c>
      <c r="H91" s="2">
        <v>11000</v>
      </c>
      <c r="I91" t="s">
        <v>1206</v>
      </c>
      <c r="J91" t="s">
        <v>1030</v>
      </c>
      <c r="K91" t="s">
        <v>1031</v>
      </c>
    </row>
    <row r="92" spans="1:11" x14ac:dyDescent="0.25">
      <c r="A92" t="s">
        <v>91</v>
      </c>
      <c r="B92" s="1">
        <v>45426</v>
      </c>
      <c r="C92">
        <v>2024</v>
      </c>
      <c r="D92" t="s">
        <v>1217</v>
      </c>
      <c r="E92" t="s">
        <v>1207</v>
      </c>
      <c r="F92" t="s">
        <v>1061</v>
      </c>
      <c r="G92" t="s">
        <v>1010</v>
      </c>
      <c r="H92" s="2">
        <v>7000</v>
      </c>
      <c r="I92" t="s">
        <v>1206</v>
      </c>
      <c r="J92" t="s">
        <v>1030</v>
      </c>
      <c r="K92" t="s">
        <v>1031</v>
      </c>
    </row>
    <row r="93" spans="1:11" x14ac:dyDescent="0.25">
      <c r="A93" t="s">
        <v>92</v>
      </c>
      <c r="B93" s="1">
        <v>45426</v>
      </c>
      <c r="C93">
        <v>2024</v>
      </c>
      <c r="D93" t="s">
        <v>1217</v>
      </c>
      <c r="E93" t="s">
        <v>1207</v>
      </c>
      <c r="F93" t="s">
        <v>1040</v>
      </c>
      <c r="G93" t="s">
        <v>1199</v>
      </c>
      <c r="H93" s="2">
        <v>20000</v>
      </c>
      <c r="I93" t="s">
        <v>1206</v>
      </c>
      <c r="J93" t="s">
        <v>1030</v>
      </c>
      <c r="K93" t="s">
        <v>1031</v>
      </c>
    </row>
    <row r="94" spans="1:11" x14ac:dyDescent="0.25">
      <c r="A94" t="s">
        <v>93</v>
      </c>
      <c r="B94" s="1">
        <v>45427</v>
      </c>
      <c r="C94">
        <v>2024</v>
      </c>
      <c r="D94" t="s">
        <v>1217</v>
      </c>
      <c r="E94" t="s">
        <v>1208</v>
      </c>
      <c r="F94" t="s">
        <v>1062</v>
      </c>
      <c r="G94" t="s">
        <v>1200</v>
      </c>
      <c r="H94" s="2">
        <v>5600</v>
      </c>
      <c r="I94" t="s">
        <v>1206</v>
      </c>
      <c r="J94" t="s">
        <v>1030</v>
      </c>
      <c r="K94" t="s">
        <v>1031</v>
      </c>
    </row>
    <row r="95" spans="1:11" x14ac:dyDescent="0.25">
      <c r="A95" t="s">
        <v>94</v>
      </c>
      <c r="B95" s="1">
        <v>45427</v>
      </c>
      <c r="C95">
        <v>2024</v>
      </c>
      <c r="D95" t="s">
        <v>1217</v>
      </c>
      <c r="E95" t="s">
        <v>1208</v>
      </c>
      <c r="F95" t="s">
        <v>1021</v>
      </c>
      <c r="G95" t="s">
        <v>1010</v>
      </c>
      <c r="H95" s="2">
        <v>3000</v>
      </c>
      <c r="I95" t="s">
        <v>1212</v>
      </c>
      <c r="J95" t="s">
        <v>1030</v>
      </c>
      <c r="K95" t="s">
        <v>1031</v>
      </c>
    </row>
    <row r="96" spans="1:11" x14ac:dyDescent="0.25">
      <c r="A96" t="s">
        <v>95</v>
      </c>
      <c r="B96" s="1">
        <v>45429</v>
      </c>
      <c r="C96">
        <v>2024</v>
      </c>
      <c r="D96" t="s">
        <v>1217</v>
      </c>
      <c r="E96" t="s">
        <v>1208</v>
      </c>
      <c r="F96" t="s">
        <v>1046</v>
      </c>
      <c r="G96" t="s">
        <v>1014</v>
      </c>
      <c r="H96" s="2">
        <v>4200</v>
      </c>
      <c r="I96" t="s">
        <v>1211</v>
      </c>
      <c r="J96" t="s">
        <v>1030</v>
      </c>
      <c r="K96" t="s">
        <v>1031</v>
      </c>
    </row>
    <row r="97" spans="1:11" x14ac:dyDescent="0.25">
      <c r="A97" t="s">
        <v>96</v>
      </c>
      <c r="B97" s="1">
        <v>45442</v>
      </c>
      <c r="C97">
        <v>2024</v>
      </c>
      <c r="D97" t="s">
        <v>1217</v>
      </c>
      <c r="E97" t="s">
        <v>1213</v>
      </c>
      <c r="F97" t="s">
        <v>1018</v>
      </c>
      <c r="G97" t="s">
        <v>1013</v>
      </c>
      <c r="H97" s="2">
        <v>5000</v>
      </c>
      <c r="I97" t="s">
        <v>1206</v>
      </c>
      <c r="J97" t="s">
        <v>1030</v>
      </c>
      <c r="K97" t="s">
        <v>1031</v>
      </c>
    </row>
    <row r="98" spans="1:11" x14ac:dyDescent="0.25">
      <c r="A98" t="s">
        <v>97</v>
      </c>
      <c r="B98" s="1">
        <v>45453</v>
      </c>
      <c r="C98">
        <v>2024</v>
      </c>
      <c r="D98" t="s">
        <v>1219</v>
      </c>
      <c r="E98" t="s">
        <v>1207</v>
      </c>
      <c r="F98" t="s">
        <v>1035</v>
      </c>
      <c r="G98" t="s">
        <v>1197</v>
      </c>
      <c r="H98" s="2">
        <v>11000</v>
      </c>
      <c r="I98" t="s">
        <v>1206</v>
      </c>
      <c r="J98" t="s">
        <v>1030</v>
      </c>
      <c r="K98" t="s">
        <v>1031</v>
      </c>
    </row>
    <row r="99" spans="1:11" x14ac:dyDescent="0.25">
      <c r="A99" t="s">
        <v>98</v>
      </c>
      <c r="B99" s="1">
        <v>45453</v>
      </c>
      <c r="C99">
        <v>2024</v>
      </c>
      <c r="D99" t="s">
        <v>1219</v>
      </c>
      <c r="E99" t="s">
        <v>1207</v>
      </c>
      <c r="F99" t="s">
        <v>1049</v>
      </c>
      <c r="G99" t="s">
        <v>1199</v>
      </c>
      <c r="H99" s="2">
        <v>20000</v>
      </c>
      <c r="I99" t="s">
        <v>1206</v>
      </c>
      <c r="J99" t="s">
        <v>1030</v>
      </c>
      <c r="K99" t="s">
        <v>1031</v>
      </c>
    </row>
    <row r="100" spans="1:11" x14ac:dyDescent="0.25">
      <c r="A100" t="s">
        <v>99</v>
      </c>
      <c r="B100" s="1">
        <v>45454</v>
      </c>
      <c r="C100">
        <v>2024</v>
      </c>
      <c r="D100" t="s">
        <v>1219</v>
      </c>
      <c r="E100" t="s">
        <v>1207</v>
      </c>
      <c r="F100" t="s">
        <v>1064</v>
      </c>
      <c r="G100" t="s">
        <v>1015</v>
      </c>
      <c r="H100" s="2">
        <v>4000</v>
      </c>
      <c r="I100" t="s">
        <v>1212</v>
      </c>
      <c r="J100" t="s">
        <v>1030</v>
      </c>
      <c r="K100" t="s">
        <v>1031</v>
      </c>
    </row>
    <row r="101" spans="1:11" x14ac:dyDescent="0.25">
      <c r="A101" t="s">
        <v>100</v>
      </c>
      <c r="B101" s="1">
        <v>45450</v>
      </c>
      <c r="C101">
        <v>2024</v>
      </c>
      <c r="D101" t="s">
        <v>1219</v>
      </c>
      <c r="E101" t="s">
        <v>1205</v>
      </c>
      <c r="F101" t="s">
        <v>1065</v>
      </c>
      <c r="G101" t="s">
        <v>1011</v>
      </c>
      <c r="H101" s="2">
        <v>22000</v>
      </c>
      <c r="I101" t="s">
        <v>1211</v>
      </c>
      <c r="J101" t="s">
        <v>1030</v>
      </c>
      <c r="K101" t="s">
        <v>1031</v>
      </c>
    </row>
    <row r="102" spans="1:11" x14ac:dyDescent="0.25">
      <c r="A102" t="s">
        <v>101</v>
      </c>
      <c r="B102" s="1">
        <v>45463</v>
      </c>
      <c r="C102">
        <v>2024</v>
      </c>
      <c r="D102" t="s">
        <v>1219</v>
      </c>
      <c r="E102" t="s">
        <v>1208</v>
      </c>
      <c r="F102" t="s">
        <v>1066</v>
      </c>
      <c r="G102" t="s">
        <v>1012</v>
      </c>
      <c r="H102" s="2">
        <v>30000</v>
      </c>
      <c r="I102" t="s">
        <v>1211</v>
      </c>
      <c r="J102" t="s">
        <v>1030</v>
      </c>
      <c r="K102" t="s">
        <v>1031</v>
      </c>
    </row>
    <row r="103" spans="1:11" x14ac:dyDescent="0.25">
      <c r="A103" t="s">
        <v>102</v>
      </c>
      <c r="B103" s="1">
        <v>45432</v>
      </c>
      <c r="C103">
        <v>2024</v>
      </c>
      <c r="D103" t="s">
        <v>1217</v>
      </c>
      <c r="E103" t="s">
        <v>1208</v>
      </c>
      <c r="F103" t="s">
        <v>1018</v>
      </c>
      <c r="G103" t="s">
        <v>1013</v>
      </c>
      <c r="H103" s="2">
        <v>4000</v>
      </c>
      <c r="I103" t="s">
        <v>1206</v>
      </c>
      <c r="J103" t="s">
        <v>1030</v>
      </c>
      <c r="K103" t="s">
        <v>1031</v>
      </c>
    </row>
    <row r="104" spans="1:11" x14ac:dyDescent="0.25">
      <c r="A104" t="s">
        <v>103</v>
      </c>
      <c r="B104" s="1">
        <v>45432</v>
      </c>
      <c r="C104">
        <v>2024</v>
      </c>
      <c r="D104" t="s">
        <v>1217</v>
      </c>
      <c r="E104" t="s">
        <v>1208</v>
      </c>
      <c r="F104" t="s">
        <v>1209</v>
      </c>
      <c r="G104" t="s">
        <v>1197</v>
      </c>
      <c r="H104" s="2">
        <v>11000</v>
      </c>
      <c r="I104" t="s">
        <v>1206</v>
      </c>
      <c r="J104" t="s">
        <v>1030</v>
      </c>
      <c r="K104" t="s">
        <v>1031</v>
      </c>
    </row>
    <row r="105" spans="1:11" x14ac:dyDescent="0.25">
      <c r="A105" t="s">
        <v>104</v>
      </c>
      <c r="B105" s="1">
        <v>45436</v>
      </c>
      <c r="C105">
        <v>2024</v>
      </c>
      <c r="D105" t="s">
        <v>1217</v>
      </c>
      <c r="E105" t="s">
        <v>1210</v>
      </c>
      <c r="F105" t="s">
        <v>1021</v>
      </c>
      <c r="G105" t="s">
        <v>1010</v>
      </c>
      <c r="H105" s="2">
        <v>3000</v>
      </c>
      <c r="I105" t="s">
        <v>1212</v>
      </c>
      <c r="J105" t="s">
        <v>1030</v>
      </c>
      <c r="K105" t="s">
        <v>1031</v>
      </c>
    </row>
    <row r="106" spans="1:11" x14ac:dyDescent="0.25">
      <c r="A106" t="s">
        <v>105</v>
      </c>
      <c r="B106" s="1">
        <v>45439</v>
      </c>
      <c r="C106">
        <v>2024</v>
      </c>
      <c r="D106" t="s">
        <v>1217</v>
      </c>
      <c r="E106" t="s">
        <v>1210</v>
      </c>
      <c r="F106" t="s">
        <v>1065</v>
      </c>
      <c r="G106" t="s">
        <v>1011</v>
      </c>
      <c r="H106" s="2">
        <v>22000</v>
      </c>
      <c r="I106" t="s">
        <v>1206</v>
      </c>
      <c r="J106" t="s">
        <v>1030</v>
      </c>
      <c r="K106" t="s">
        <v>1031</v>
      </c>
    </row>
    <row r="107" spans="1:11" x14ac:dyDescent="0.25">
      <c r="A107" t="s">
        <v>106</v>
      </c>
      <c r="B107" s="1">
        <v>45439</v>
      </c>
      <c r="C107">
        <v>2024</v>
      </c>
      <c r="D107" t="s">
        <v>1217</v>
      </c>
      <c r="E107" t="s">
        <v>1210</v>
      </c>
      <c r="F107" t="s">
        <v>1035</v>
      </c>
      <c r="G107" t="s">
        <v>1197</v>
      </c>
      <c r="H107" s="2">
        <v>11000</v>
      </c>
      <c r="I107" t="s">
        <v>1206</v>
      </c>
      <c r="J107" t="s">
        <v>1030</v>
      </c>
      <c r="K107" t="s">
        <v>1031</v>
      </c>
    </row>
    <row r="108" spans="1:11" x14ac:dyDescent="0.25">
      <c r="A108" t="s">
        <v>107</v>
      </c>
      <c r="B108" s="1">
        <v>45440</v>
      </c>
      <c r="C108">
        <v>2024</v>
      </c>
      <c r="D108" t="s">
        <v>1217</v>
      </c>
      <c r="E108" t="s">
        <v>1210</v>
      </c>
      <c r="F108" t="s">
        <v>1067</v>
      </c>
      <c r="G108" t="s">
        <v>1011</v>
      </c>
      <c r="H108" s="2">
        <v>30000</v>
      </c>
      <c r="I108" t="s">
        <v>1206</v>
      </c>
      <c r="J108" t="s">
        <v>1030</v>
      </c>
      <c r="K108" t="s">
        <v>1031</v>
      </c>
    </row>
    <row r="109" spans="1:11" x14ac:dyDescent="0.25">
      <c r="A109" t="s">
        <v>108</v>
      </c>
      <c r="B109" s="1">
        <v>45440</v>
      </c>
      <c r="C109">
        <v>2024</v>
      </c>
      <c r="D109" t="s">
        <v>1217</v>
      </c>
      <c r="E109" t="s">
        <v>1210</v>
      </c>
      <c r="F109" t="s">
        <v>1018</v>
      </c>
      <c r="G109" t="s">
        <v>1013</v>
      </c>
      <c r="H109" s="2">
        <v>2000</v>
      </c>
      <c r="I109" t="s">
        <v>1206</v>
      </c>
      <c r="J109" t="s">
        <v>1030</v>
      </c>
      <c r="K109" t="s">
        <v>1031</v>
      </c>
    </row>
    <row r="110" spans="1:11" x14ac:dyDescent="0.25">
      <c r="A110" t="s">
        <v>109</v>
      </c>
      <c r="B110" s="1">
        <v>45441</v>
      </c>
      <c r="C110">
        <v>2024</v>
      </c>
      <c r="D110" t="s">
        <v>1217</v>
      </c>
      <c r="E110" t="s">
        <v>1213</v>
      </c>
      <c r="F110" t="s">
        <v>1068</v>
      </c>
      <c r="G110" t="s">
        <v>1011</v>
      </c>
      <c r="H110" s="2">
        <v>23000</v>
      </c>
      <c r="I110" t="s">
        <v>1206</v>
      </c>
      <c r="J110" t="s">
        <v>1030</v>
      </c>
      <c r="K110" t="s">
        <v>1031</v>
      </c>
    </row>
    <row r="111" spans="1:11" x14ac:dyDescent="0.25">
      <c r="A111" t="s">
        <v>110</v>
      </c>
      <c r="B111" s="1">
        <v>45441</v>
      </c>
      <c r="C111">
        <v>2024</v>
      </c>
      <c r="D111" t="s">
        <v>1217</v>
      </c>
      <c r="E111" t="s">
        <v>1213</v>
      </c>
      <c r="F111" t="s">
        <v>1065</v>
      </c>
      <c r="G111" t="s">
        <v>1011</v>
      </c>
      <c r="H111" s="2">
        <v>23000</v>
      </c>
      <c r="I111" t="s">
        <v>1206</v>
      </c>
      <c r="J111" t="s">
        <v>1030</v>
      </c>
      <c r="K111" t="s">
        <v>1031</v>
      </c>
    </row>
    <row r="112" spans="1:11" x14ac:dyDescent="0.25">
      <c r="A112" t="s">
        <v>111</v>
      </c>
      <c r="B112" s="1">
        <v>45443</v>
      </c>
      <c r="C112">
        <v>2024</v>
      </c>
      <c r="D112" t="s">
        <v>1217</v>
      </c>
      <c r="E112" t="s">
        <v>1213</v>
      </c>
      <c r="F112" t="s">
        <v>1025</v>
      </c>
      <c r="G112" t="s">
        <v>1014</v>
      </c>
      <c r="H112" s="2">
        <v>5000</v>
      </c>
      <c r="I112" t="s">
        <v>1206</v>
      </c>
      <c r="J112" t="s">
        <v>1030</v>
      </c>
      <c r="K112" t="s">
        <v>1031</v>
      </c>
    </row>
    <row r="113" spans="1:11" x14ac:dyDescent="0.25">
      <c r="A113" t="s">
        <v>112</v>
      </c>
      <c r="B113" s="1">
        <v>45443</v>
      </c>
      <c r="C113">
        <v>2024</v>
      </c>
      <c r="D113" t="s">
        <v>1217</v>
      </c>
      <c r="E113" t="s">
        <v>1213</v>
      </c>
      <c r="F113" t="s">
        <v>1023</v>
      </c>
      <c r="G113" t="s">
        <v>1201</v>
      </c>
      <c r="H113" s="2">
        <v>7000</v>
      </c>
      <c r="I113" t="s">
        <v>1212</v>
      </c>
      <c r="J113" t="s">
        <v>1030</v>
      </c>
      <c r="K113" t="s">
        <v>1031</v>
      </c>
    </row>
    <row r="114" spans="1:11" x14ac:dyDescent="0.25">
      <c r="A114" t="s">
        <v>113</v>
      </c>
      <c r="B114" s="1">
        <v>45432</v>
      </c>
      <c r="C114">
        <v>2024</v>
      </c>
      <c r="D114" t="s">
        <v>1217</v>
      </c>
      <c r="E114" t="s">
        <v>1208</v>
      </c>
      <c r="F114" t="s">
        <v>1018</v>
      </c>
      <c r="G114" t="s">
        <v>1013</v>
      </c>
      <c r="H114" s="2">
        <v>4000</v>
      </c>
      <c r="I114" t="s">
        <v>1206</v>
      </c>
      <c r="J114" t="s">
        <v>1030</v>
      </c>
      <c r="K114" t="s">
        <v>1031</v>
      </c>
    </row>
    <row r="115" spans="1:11" x14ac:dyDescent="0.25">
      <c r="A115" t="s">
        <v>114</v>
      </c>
      <c r="B115" s="1">
        <v>45432</v>
      </c>
      <c r="C115">
        <v>2024</v>
      </c>
      <c r="D115" t="s">
        <v>1217</v>
      </c>
      <c r="E115" t="s">
        <v>1208</v>
      </c>
      <c r="F115" t="s">
        <v>1209</v>
      </c>
      <c r="G115" t="s">
        <v>1197</v>
      </c>
      <c r="H115" s="2">
        <v>11000</v>
      </c>
      <c r="I115" t="s">
        <v>1206</v>
      </c>
      <c r="J115" t="s">
        <v>1030</v>
      </c>
      <c r="K115" t="s">
        <v>1031</v>
      </c>
    </row>
    <row r="116" spans="1:11" x14ac:dyDescent="0.25">
      <c r="A116" t="s">
        <v>115</v>
      </c>
      <c r="B116" s="1">
        <v>45436</v>
      </c>
      <c r="C116">
        <v>2024</v>
      </c>
      <c r="D116" t="s">
        <v>1217</v>
      </c>
      <c r="E116" t="s">
        <v>1210</v>
      </c>
      <c r="F116" t="s">
        <v>1021</v>
      </c>
      <c r="G116" t="s">
        <v>1010</v>
      </c>
      <c r="H116" s="2">
        <v>3000</v>
      </c>
      <c r="I116" t="s">
        <v>1212</v>
      </c>
      <c r="J116" t="s">
        <v>1030</v>
      </c>
      <c r="K116" t="s">
        <v>1031</v>
      </c>
    </row>
    <row r="117" spans="1:11" x14ac:dyDescent="0.25">
      <c r="A117" t="s">
        <v>116</v>
      </c>
      <c r="B117" s="1">
        <v>45439</v>
      </c>
      <c r="C117">
        <v>2024</v>
      </c>
      <c r="D117" t="s">
        <v>1217</v>
      </c>
      <c r="E117" t="s">
        <v>1210</v>
      </c>
      <c r="F117" t="s">
        <v>1065</v>
      </c>
      <c r="G117" t="s">
        <v>1011</v>
      </c>
      <c r="H117" s="2">
        <v>22000</v>
      </c>
      <c r="I117" t="s">
        <v>1211</v>
      </c>
      <c r="J117" t="s">
        <v>1030</v>
      </c>
      <c r="K117" t="s">
        <v>1031</v>
      </c>
    </row>
    <row r="118" spans="1:11" x14ac:dyDescent="0.25">
      <c r="A118" t="s">
        <v>117</v>
      </c>
      <c r="B118" s="1">
        <v>45439</v>
      </c>
      <c r="C118">
        <v>2024</v>
      </c>
      <c r="D118" t="s">
        <v>1217</v>
      </c>
      <c r="E118" t="s">
        <v>1210</v>
      </c>
      <c r="F118" t="s">
        <v>1209</v>
      </c>
      <c r="G118" t="s">
        <v>1197</v>
      </c>
      <c r="H118" s="2">
        <v>11000</v>
      </c>
      <c r="I118" t="s">
        <v>1206</v>
      </c>
      <c r="J118" t="s">
        <v>1030</v>
      </c>
      <c r="K118" t="s">
        <v>1031</v>
      </c>
    </row>
    <row r="119" spans="1:11" x14ac:dyDescent="0.25">
      <c r="A119" t="s">
        <v>118</v>
      </c>
      <c r="B119" s="1">
        <v>45440</v>
      </c>
      <c r="C119">
        <v>2024</v>
      </c>
      <c r="D119" t="s">
        <v>1217</v>
      </c>
      <c r="E119" t="s">
        <v>1210</v>
      </c>
      <c r="F119" t="s">
        <v>1069</v>
      </c>
      <c r="G119" t="s">
        <v>1011</v>
      </c>
      <c r="H119" s="2">
        <v>30000</v>
      </c>
      <c r="I119" t="s">
        <v>1206</v>
      </c>
      <c r="J119" t="s">
        <v>1030</v>
      </c>
      <c r="K119" t="s">
        <v>1031</v>
      </c>
    </row>
    <row r="120" spans="1:11" x14ac:dyDescent="0.25">
      <c r="A120" t="s">
        <v>119</v>
      </c>
      <c r="B120" s="1">
        <v>45440</v>
      </c>
      <c r="C120">
        <v>2024</v>
      </c>
      <c r="D120" t="s">
        <v>1217</v>
      </c>
      <c r="E120" t="s">
        <v>1210</v>
      </c>
      <c r="F120" t="s">
        <v>1018</v>
      </c>
      <c r="G120" t="s">
        <v>1013</v>
      </c>
      <c r="H120" s="2">
        <v>2000</v>
      </c>
      <c r="I120" t="s">
        <v>1206</v>
      </c>
      <c r="J120" t="s">
        <v>1030</v>
      </c>
      <c r="K120" t="s">
        <v>1031</v>
      </c>
    </row>
    <row r="121" spans="1:11" x14ac:dyDescent="0.25">
      <c r="A121" t="s">
        <v>120</v>
      </c>
      <c r="B121" s="1">
        <v>45441</v>
      </c>
      <c r="C121">
        <v>2024</v>
      </c>
      <c r="D121" t="s">
        <v>1217</v>
      </c>
      <c r="E121" t="s">
        <v>1213</v>
      </c>
      <c r="F121" t="s">
        <v>1068</v>
      </c>
      <c r="G121" t="s">
        <v>1011</v>
      </c>
      <c r="H121" s="2">
        <v>18000</v>
      </c>
      <c r="I121" t="s">
        <v>1206</v>
      </c>
      <c r="J121" t="s">
        <v>1030</v>
      </c>
      <c r="K121" t="s">
        <v>1031</v>
      </c>
    </row>
    <row r="122" spans="1:11" x14ac:dyDescent="0.25">
      <c r="A122" t="s">
        <v>121</v>
      </c>
      <c r="B122" s="1">
        <v>45441</v>
      </c>
      <c r="C122">
        <v>2024</v>
      </c>
      <c r="D122" t="s">
        <v>1217</v>
      </c>
      <c r="E122" t="s">
        <v>1213</v>
      </c>
      <c r="F122" t="s">
        <v>1065</v>
      </c>
      <c r="G122" t="s">
        <v>1011</v>
      </c>
      <c r="H122" s="2">
        <v>23000</v>
      </c>
      <c r="I122" t="s">
        <v>1212</v>
      </c>
      <c r="J122" t="s">
        <v>1030</v>
      </c>
      <c r="K122" t="s">
        <v>1031</v>
      </c>
    </row>
    <row r="123" spans="1:11" x14ac:dyDescent="0.25">
      <c r="A123" t="s">
        <v>122</v>
      </c>
      <c r="B123" s="1">
        <v>45443</v>
      </c>
      <c r="C123">
        <v>2024</v>
      </c>
      <c r="D123" t="s">
        <v>1217</v>
      </c>
      <c r="E123" t="s">
        <v>1213</v>
      </c>
      <c r="F123" t="s">
        <v>1025</v>
      </c>
      <c r="G123" t="s">
        <v>1014</v>
      </c>
      <c r="H123" s="2">
        <v>5000</v>
      </c>
      <c r="I123" t="s">
        <v>1206</v>
      </c>
      <c r="J123" t="s">
        <v>1030</v>
      </c>
      <c r="K123" t="s">
        <v>1031</v>
      </c>
    </row>
    <row r="124" spans="1:11" x14ac:dyDescent="0.25">
      <c r="A124" t="s">
        <v>123</v>
      </c>
      <c r="B124" s="1">
        <v>45443</v>
      </c>
      <c r="C124">
        <v>2024</v>
      </c>
      <c r="D124" t="s">
        <v>1217</v>
      </c>
      <c r="E124" t="s">
        <v>1213</v>
      </c>
      <c r="F124" t="s">
        <v>1023</v>
      </c>
      <c r="G124" t="s">
        <v>1201</v>
      </c>
      <c r="H124" s="2">
        <v>7000</v>
      </c>
      <c r="I124" t="s">
        <v>1212</v>
      </c>
      <c r="J124" t="s">
        <v>1030</v>
      </c>
      <c r="K124" t="s">
        <v>1031</v>
      </c>
    </row>
    <row r="125" spans="1:11" x14ac:dyDescent="0.25">
      <c r="A125" t="s">
        <v>124</v>
      </c>
      <c r="B125" s="1">
        <v>45443</v>
      </c>
      <c r="C125">
        <v>2024</v>
      </c>
      <c r="D125" t="s">
        <v>1217</v>
      </c>
      <c r="E125" t="s">
        <v>1213</v>
      </c>
      <c r="F125" t="s">
        <v>1070</v>
      </c>
      <c r="G125" t="s">
        <v>1010</v>
      </c>
      <c r="H125" s="2">
        <v>25000</v>
      </c>
      <c r="I125" t="s">
        <v>1206</v>
      </c>
      <c r="J125" t="s">
        <v>1030</v>
      </c>
      <c r="K125" t="s">
        <v>1031</v>
      </c>
    </row>
    <row r="126" spans="1:11" x14ac:dyDescent="0.25">
      <c r="A126" t="s">
        <v>125</v>
      </c>
      <c r="B126" s="1">
        <v>45446</v>
      </c>
      <c r="C126">
        <v>2024</v>
      </c>
      <c r="D126" t="s">
        <v>1219</v>
      </c>
      <c r="E126" t="s">
        <v>1205</v>
      </c>
      <c r="F126" t="s">
        <v>1209</v>
      </c>
      <c r="G126" t="s">
        <v>1197</v>
      </c>
      <c r="H126" s="2">
        <v>11000</v>
      </c>
      <c r="I126" t="s">
        <v>1206</v>
      </c>
      <c r="J126" t="s">
        <v>1030</v>
      </c>
      <c r="K126" t="s">
        <v>1031</v>
      </c>
    </row>
    <row r="127" spans="1:11" x14ac:dyDescent="0.25">
      <c r="A127" t="s">
        <v>126</v>
      </c>
      <c r="B127" s="1">
        <v>45446</v>
      </c>
      <c r="C127">
        <v>2024</v>
      </c>
      <c r="D127" t="s">
        <v>1219</v>
      </c>
      <c r="E127" t="s">
        <v>1205</v>
      </c>
      <c r="F127" t="s">
        <v>1033</v>
      </c>
      <c r="G127" t="s">
        <v>1014</v>
      </c>
      <c r="H127" s="2">
        <v>68100</v>
      </c>
      <c r="I127" t="s">
        <v>1211</v>
      </c>
      <c r="J127" t="s">
        <v>1030</v>
      </c>
      <c r="K127" t="s">
        <v>1031</v>
      </c>
    </row>
    <row r="128" spans="1:11" x14ac:dyDescent="0.25">
      <c r="A128" t="s">
        <v>127</v>
      </c>
      <c r="B128" s="1">
        <v>45447</v>
      </c>
      <c r="C128">
        <v>2024</v>
      </c>
      <c r="D128" t="s">
        <v>1219</v>
      </c>
      <c r="E128" t="s">
        <v>1205</v>
      </c>
      <c r="F128" t="s">
        <v>1049</v>
      </c>
      <c r="G128" t="s">
        <v>1199</v>
      </c>
      <c r="H128" s="2">
        <v>20000</v>
      </c>
      <c r="I128" t="s">
        <v>1206</v>
      </c>
      <c r="J128" t="s">
        <v>1030</v>
      </c>
      <c r="K128" t="s">
        <v>1031</v>
      </c>
    </row>
    <row r="129" spans="1:11" x14ac:dyDescent="0.25">
      <c r="A129" t="s">
        <v>128</v>
      </c>
      <c r="B129" s="1">
        <v>45447</v>
      </c>
      <c r="C129">
        <v>2024</v>
      </c>
      <c r="D129" t="s">
        <v>1219</v>
      </c>
      <c r="E129" t="s">
        <v>1205</v>
      </c>
      <c r="F129" t="s">
        <v>1037</v>
      </c>
      <c r="G129" t="s">
        <v>1199</v>
      </c>
      <c r="H129" s="2">
        <v>20000</v>
      </c>
      <c r="I129" t="s">
        <v>1206</v>
      </c>
      <c r="J129" t="s">
        <v>1030</v>
      </c>
      <c r="K129" t="s">
        <v>1031</v>
      </c>
    </row>
    <row r="130" spans="1:11" x14ac:dyDescent="0.25">
      <c r="A130" t="s">
        <v>129</v>
      </c>
      <c r="B130" s="1">
        <v>45447</v>
      </c>
      <c r="C130">
        <v>2024</v>
      </c>
      <c r="D130" t="s">
        <v>1219</v>
      </c>
      <c r="E130" t="s">
        <v>1205</v>
      </c>
      <c r="F130" t="s">
        <v>1046</v>
      </c>
      <c r="G130" t="s">
        <v>1014</v>
      </c>
      <c r="H130" s="2">
        <v>4200</v>
      </c>
      <c r="I130" t="s">
        <v>1211</v>
      </c>
      <c r="J130" t="s">
        <v>1030</v>
      </c>
      <c r="K130" t="s">
        <v>1031</v>
      </c>
    </row>
    <row r="131" spans="1:11" x14ac:dyDescent="0.25">
      <c r="A131" t="s">
        <v>130</v>
      </c>
      <c r="B131" s="1">
        <v>45447</v>
      </c>
      <c r="C131">
        <v>2024</v>
      </c>
      <c r="D131" t="s">
        <v>1219</v>
      </c>
      <c r="E131" t="s">
        <v>1205</v>
      </c>
      <c r="F131" t="s">
        <v>1072</v>
      </c>
      <c r="G131" t="s">
        <v>1012</v>
      </c>
      <c r="H131" s="2">
        <v>5000</v>
      </c>
      <c r="I131" t="s">
        <v>1206</v>
      </c>
      <c r="J131" t="s">
        <v>1030</v>
      </c>
      <c r="K131" t="s">
        <v>1031</v>
      </c>
    </row>
    <row r="132" spans="1:11" x14ac:dyDescent="0.25">
      <c r="A132" t="s">
        <v>131</v>
      </c>
      <c r="B132" s="1">
        <v>45467</v>
      </c>
      <c r="C132">
        <v>2024</v>
      </c>
      <c r="D132" t="s">
        <v>1219</v>
      </c>
      <c r="E132" t="s">
        <v>1210</v>
      </c>
      <c r="F132" t="s">
        <v>1018</v>
      </c>
      <c r="G132" t="s">
        <v>1013</v>
      </c>
      <c r="H132" s="2">
        <v>7000</v>
      </c>
      <c r="I132" t="s">
        <v>1206</v>
      </c>
      <c r="J132" t="s">
        <v>1030</v>
      </c>
      <c r="K132" t="s">
        <v>1031</v>
      </c>
    </row>
    <row r="133" spans="1:11" x14ac:dyDescent="0.25">
      <c r="A133" t="s">
        <v>132</v>
      </c>
      <c r="B133" s="1">
        <v>45467</v>
      </c>
      <c r="C133">
        <v>2024</v>
      </c>
      <c r="D133" t="s">
        <v>1219</v>
      </c>
      <c r="E133" t="s">
        <v>1210</v>
      </c>
      <c r="F133" t="s">
        <v>1073</v>
      </c>
      <c r="G133" t="s">
        <v>1015</v>
      </c>
      <c r="H133" s="2">
        <v>15000</v>
      </c>
      <c r="I133" t="s">
        <v>1206</v>
      </c>
      <c r="J133" t="s">
        <v>1030</v>
      </c>
      <c r="K133" t="s">
        <v>1031</v>
      </c>
    </row>
    <row r="134" spans="1:11" x14ac:dyDescent="0.25">
      <c r="A134" t="s">
        <v>133</v>
      </c>
      <c r="B134" s="1">
        <v>45467</v>
      </c>
      <c r="C134">
        <v>2024</v>
      </c>
      <c r="D134" t="s">
        <v>1219</v>
      </c>
      <c r="E134" t="s">
        <v>1210</v>
      </c>
      <c r="F134" t="s">
        <v>1046</v>
      </c>
      <c r="G134" t="s">
        <v>1014</v>
      </c>
      <c r="H134" s="2">
        <v>3900</v>
      </c>
      <c r="I134" t="s">
        <v>1211</v>
      </c>
      <c r="J134" t="s">
        <v>1030</v>
      </c>
      <c r="K134" t="s">
        <v>1031</v>
      </c>
    </row>
    <row r="135" spans="1:11" x14ac:dyDescent="0.25">
      <c r="A135" t="s">
        <v>134</v>
      </c>
      <c r="B135" s="1">
        <v>45467</v>
      </c>
      <c r="C135">
        <v>2024</v>
      </c>
      <c r="D135" t="s">
        <v>1219</v>
      </c>
      <c r="E135" t="s">
        <v>1210</v>
      </c>
      <c r="F135" t="s">
        <v>1035</v>
      </c>
      <c r="G135" t="s">
        <v>1197</v>
      </c>
      <c r="H135" s="2">
        <v>11000</v>
      </c>
      <c r="I135" t="s">
        <v>1206</v>
      </c>
      <c r="J135" t="s">
        <v>1030</v>
      </c>
      <c r="K135" t="s">
        <v>1031</v>
      </c>
    </row>
    <row r="136" spans="1:11" x14ac:dyDescent="0.25">
      <c r="A136" t="s">
        <v>135</v>
      </c>
      <c r="B136" s="1">
        <v>45468</v>
      </c>
      <c r="C136">
        <v>2024</v>
      </c>
      <c r="D136" t="s">
        <v>1219</v>
      </c>
      <c r="E136" t="s">
        <v>1210</v>
      </c>
      <c r="F136" t="s">
        <v>1220</v>
      </c>
      <c r="G136" t="s">
        <v>1012</v>
      </c>
      <c r="H136" s="2">
        <v>22000</v>
      </c>
      <c r="I136" t="s">
        <v>1206</v>
      </c>
      <c r="J136" t="s">
        <v>1030</v>
      </c>
      <c r="K136" t="s">
        <v>1031</v>
      </c>
    </row>
    <row r="137" spans="1:11" x14ac:dyDescent="0.25">
      <c r="A137" t="s">
        <v>136</v>
      </c>
      <c r="B137" s="1">
        <v>45468</v>
      </c>
      <c r="C137">
        <v>2024</v>
      </c>
      <c r="D137" t="s">
        <v>1219</v>
      </c>
      <c r="E137" t="s">
        <v>1210</v>
      </c>
      <c r="F137" t="s">
        <v>1025</v>
      </c>
      <c r="G137" t="s">
        <v>1014</v>
      </c>
      <c r="H137" s="2">
        <v>5000</v>
      </c>
      <c r="I137" t="s">
        <v>1206</v>
      </c>
      <c r="J137" t="s">
        <v>1030</v>
      </c>
      <c r="K137" t="s">
        <v>1031</v>
      </c>
    </row>
    <row r="138" spans="1:11" x14ac:dyDescent="0.25">
      <c r="A138" t="s">
        <v>137</v>
      </c>
      <c r="B138" s="1">
        <v>45469</v>
      </c>
      <c r="C138">
        <v>2024</v>
      </c>
      <c r="D138" t="s">
        <v>1219</v>
      </c>
      <c r="E138" t="s">
        <v>1210</v>
      </c>
      <c r="F138" t="s">
        <v>1075</v>
      </c>
      <c r="G138" t="s">
        <v>1010</v>
      </c>
      <c r="H138" s="2">
        <v>13500</v>
      </c>
      <c r="I138" t="s">
        <v>1206</v>
      </c>
      <c r="J138" t="s">
        <v>1030</v>
      </c>
      <c r="K138" t="s">
        <v>1031</v>
      </c>
    </row>
    <row r="139" spans="1:11" x14ac:dyDescent="0.25">
      <c r="A139" t="s">
        <v>138</v>
      </c>
      <c r="B139" s="1">
        <v>45470</v>
      </c>
      <c r="C139">
        <v>2024</v>
      </c>
      <c r="D139" t="s">
        <v>1219</v>
      </c>
      <c r="E139" t="s">
        <v>1210</v>
      </c>
      <c r="F139" t="s">
        <v>1023</v>
      </c>
      <c r="G139" t="s">
        <v>1201</v>
      </c>
      <c r="H139" s="2">
        <v>7000</v>
      </c>
      <c r="I139" t="s">
        <v>1212</v>
      </c>
      <c r="J139" t="s">
        <v>1030</v>
      </c>
      <c r="K139" t="s">
        <v>1031</v>
      </c>
    </row>
    <row r="140" spans="1:11" x14ac:dyDescent="0.25">
      <c r="A140" t="s">
        <v>139</v>
      </c>
      <c r="B140" s="1">
        <v>45471</v>
      </c>
      <c r="C140">
        <v>2024</v>
      </c>
      <c r="D140" t="s">
        <v>1219</v>
      </c>
      <c r="E140" t="s">
        <v>1210</v>
      </c>
      <c r="F140" t="s">
        <v>1076</v>
      </c>
      <c r="G140" t="s">
        <v>1197</v>
      </c>
      <c r="H140" s="2">
        <v>64000</v>
      </c>
      <c r="I140" t="s">
        <v>1206</v>
      </c>
      <c r="J140" t="s">
        <v>1030</v>
      </c>
      <c r="K140" t="s">
        <v>1031</v>
      </c>
    </row>
    <row r="141" spans="1:11" x14ac:dyDescent="0.25">
      <c r="A141" t="s">
        <v>140</v>
      </c>
      <c r="B141" s="1">
        <v>45474</v>
      </c>
      <c r="C141">
        <v>2024</v>
      </c>
      <c r="D141" t="s">
        <v>1221</v>
      </c>
      <c r="E141" t="s">
        <v>1205</v>
      </c>
      <c r="F141" t="s">
        <v>1077</v>
      </c>
      <c r="G141" t="s">
        <v>1011</v>
      </c>
      <c r="H141" s="2">
        <v>30000</v>
      </c>
      <c r="I141" t="s">
        <v>1206</v>
      </c>
      <c r="J141" t="s">
        <v>1030</v>
      </c>
      <c r="K141" t="s">
        <v>1031</v>
      </c>
    </row>
    <row r="142" spans="1:11" x14ac:dyDescent="0.25">
      <c r="A142" t="s">
        <v>141</v>
      </c>
      <c r="B142" s="1">
        <v>45474</v>
      </c>
      <c r="C142">
        <v>2024</v>
      </c>
      <c r="D142" t="s">
        <v>1221</v>
      </c>
      <c r="E142" t="s">
        <v>1205</v>
      </c>
      <c r="F142" t="s">
        <v>1033</v>
      </c>
      <c r="G142" t="s">
        <v>1014</v>
      </c>
      <c r="H142" s="2">
        <v>72470</v>
      </c>
      <c r="I142" t="s">
        <v>1211</v>
      </c>
      <c r="J142" t="s">
        <v>1030</v>
      </c>
      <c r="K142" t="s">
        <v>1031</v>
      </c>
    </row>
    <row r="143" spans="1:11" x14ac:dyDescent="0.25">
      <c r="A143" t="s">
        <v>142</v>
      </c>
      <c r="B143" s="1">
        <v>45475</v>
      </c>
      <c r="C143">
        <v>2024</v>
      </c>
      <c r="D143" t="s">
        <v>1221</v>
      </c>
      <c r="E143" t="s">
        <v>1205</v>
      </c>
      <c r="F143" t="s">
        <v>1065</v>
      </c>
      <c r="G143" t="s">
        <v>1011</v>
      </c>
      <c r="H143" s="2">
        <v>22000</v>
      </c>
      <c r="I143" t="s">
        <v>1206</v>
      </c>
      <c r="J143" t="s">
        <v>1030</v>
      </c>
      <c r="K143" t="s">
        <v>1031</v>
      </c>
    </row>
    <row r="144" spans="1:11" x14ac:dyDescent="0.25">
      <c r="A144" t="s">
        <v>143</v>
      </c>
      <c r="B144" s="1">
        <v>45475</v>
      </c>
      <c r="C144">
        <v>2024</v>
      </c>
      <c r="D144" t="s">
        <v>1221</v>
      </c>
      <c r="E144" t="s">
        <v>1205</v>
      </c>
      <c r="F144" t="s">
        <v>1068</v>
      </c>
      <c r="G144" t="s">
        <v>1011</v>
      </c>
      <c r="H144" s="2">
        <v>18000</v>
      </c>
      <c r="I144" t="s">
        <v>1206</v>
      </c>
      <c r="J144" t="s">
        <v>1030</v>
      </c>
      <c r="K144" t="s">
        <v>1031</v>
      </c>
    </row>
    <row r="145" spans="1:11" x14ac:dyDescent="0.25">
      <c r="A145" t="s">
        <v>144</v>
      </c>
      <c r="B145" s="1">
        <v>45477</v>
      </c>
      <c r="C145">
        <v>2024</v>
      </c>
      <c r="D145" t="s">
        <v>1221</v>
      </c>
      <c r="E145" t="s">
        <v>1205</v>
      </c>
      <c r="F145" t="s">
        <v>1078</v>
      </c>
      <c r="G145" t="s">
        <v>1199</v>
      </c>
      <c r="H145" s="2">
        <v>18000</v>
      </c>
      <c r="I145" t="s">
        <v>1206</v>
      </c>
      <c r="J145" t="s">
        <v>1030</v>
      </c>
      <c r="K145" t="s">
        <v>1031</v>
      </c>
    </row>
    <row r="146" spans="1:11" x14ac:dyDescent="0.25">
      <c r="A146" t="s">
        <v>145</v>
      </c>
      <c r="B146" s="1">
        <v>45477</v>
      </c>
      <c r="C146">
        <v>2024</v>
      </c>
      <c r="D146" t="s">
        <v>1221</v>
      </c>
      <c r="E146" t="s">
        <v>1205</v>
      </c>
      <c r="F146" t="s">
        <v>1079</v>
      </c>
      <c r="G146" t="s">
        <v>1199</v>
      </c>
      <c r="H146" s="2">
        <v>20000</v>
      </c>
      <c r="I146" t="s">
        <v>1206</v>
      </c>
      <c r="J146" t="s">
        <v>1030</v>
      </c>
      <c r="K146" t="s">
        <v>1031</v>
      </c>
    </row>
    <row r="147" spans="1:11" x14ac:dyDescent="0.25">
      <c r="A147" t="s">
        <v>146</v>
      </c>
      <c r="B147" s="1">
        <v>45481</v>
      </c>
      <c r="C147">
        <v>2024</v>
      </c>
      <c r="D147" t="s">
        <v>1221</v>
      </c>
      <c r="E147" t="s">
        <v>1207</v>
      </c>
      <c r="F147" t="s">
        <v>1209</v>
      </c>
      <c r="G147" t="s">
        <v>1197</v>
      </c>
      <c r="H147" s="2">
        <v>11000</v>
      </c>
      <c r="I147" t="s">
        <v>1206</v>
      </c>
      <c r="J147" t="s">
        <v>1030</v>
      </c>
      <c r="K147" t="s">
        <v>1031</v>
      </c>
    </row>
    <row r="148" spans="1:11" x14ac:dyDescent="0.25">
      <c r="A148" t="s">
        <v>147</v>
      </c>
      <c r="B148" s="1">
        <v>45482</v>
      </c>
      <c r="C148">
        <v>2024</v>
      </c>
      <c r="D148" t="s">
        <v>1221</v>
      </c>
      <c r="E148" t="s">
        <v>1207</v>
      </c>
      <c r="F148" t="s">
        <v>1080</v>
      </c>
      <c r="G148" t="s">
        <v>1199</v>
      </c>
      <c r="H148" s="2">
        <v>20000</v>
      </c>
      <c r="I148" t="s">
        <v>1206</v>
      </c>
      <c r="J148" t="s">
        <v>1030</v>
      </c>
      <c r="K148" t="s">
        <v>1031</v>
      </c>
    </row>
    <row r="149" spans="1:11" x14ac:dyDescent="0.25">
      <c r="A149" t="s">
        <v>148</v>
      </c>
      <c r="B149" s="1">
        <v>45478</v>
      </c>
      <c r="C149">
        <v>2024</v>
      </c>
      <c r="D149" t="s">
        <v>1221</v>
      </c>
      <c r="E149" t="s">
        <v>1205</v>
      </c>
      <c r="F149" t="s">
        <v>1018</v>
      </c>
      <c r="G149" t="s">
        <v>1013</v>
      </c>
      <c r="H149" s="2">
        <v>2000</v>
      </c>
      <c r="I149" t="s">
        <v>1206</v>
      </c>
      <c r="J149" t="s">
        <v>1030</v>
      </c>
      <c r="K149" t="s">
        <v>1031</v>
      </c>
    </row>
    <row r="150" spans="1:11" x14ac:dyDescent="0.25">
      <c r="A150" t="s">
        <v>149</v>
      </c>
      <c r="B150" s="1">
        <v>45478</v>
      </c>
      <c r="C150">
        <v>2024</v>
      </c>
      <c r="D150" t="s">
        <v>1221</v>
      </c>
      <c r="E150" t="s">
        <v>1205</v>
      </c>
      <c r="F150" t="s">
        <v>1025</v>
      </c>
      <c r="G150" t="s">
        <v>1014</v>
      </c>
      <c r="H150" s="2">
        <v>5000</v>
      </c>
      <c r="I150" t="s">
        <v>1206</v>
      </c>
      <c r="J150" t="s">
        <v>1030</v>
      </c>
      <c r="K150" t="s">
        <v>1031</v>
      </c>
    </row>
    <row r="151" spans="1:11" x14ac:dyDescent="0.25">
      <c r="A151" t="s">
        <v>150</v>
      </c>
      <c r="B151" s="1">
        <v>45488</v>
      </c>
      <c r="C151">
        <v>2024</v>
      </c>
      <c r="D151" t="s">
        <v>1221</v>
      </c>
      <c r="E151" t="s">
        <v>1208</v>
      </c>
      <c r="F151" t="s">
        <v>1081</v>
      </c>
      <c r="G151" t="s">
        <v>1012</v>
      </c>
      <c r="H151" s="2">
        <v>4000</v>
      </c>
      <c r="I151" t="s">
        <v>1212</v>
      </c>
      <c r="J151" t="s">
        <v>1030</v>
      </c>
      <c r="K151" t="s">
        <v>1031</v>
      </c>
    </row>
    <row r="152" spans="1:11" x14ac:dyDescent="0.25">
      <c r="A152" t="s">
        <v>151</v>
      </c>
      <c r="B152" s="1">
        <v>45488</v>
      </c>
      <c r="C152">
        <v>2024</v>
      </c>
      <c r="D152" t="s">
        <v>1221</v>
      </c>
      <c r="E152" t="s">
        <v>1208</v>
      </c>
      <c r="F152" t="s">
        <v>1209</v>
      </c>
      <c r="G152" t="s">
        <v>1197</v>
      </c>
      <c r="H152" s="2">
        <v>11000</v>
      </c>
      <c r="I152" t="s">
        <v>1206</v>
      </c>
      <c r="J152" t="s">
        <v>1030</v>
      </c>
      <c r="K152" t="s">
        <v>1031</v>
      </c>
    </row>
    <row r="153" spans="1:11" x14ac:dyDescent="0.25">
      <c r="A153" t="s">
        <v>152</v>
      </c>
      <c r="B153" s="1">
        <v>45489</v>
      </c>
      <c r="C153">
        <v>2024</v>
      </c>
      <c r="D153" t="s">
        <v>1221</v>
      </c>
      <c r="E153" t="s">
        <v>1208</v>
      </c>
      <c r="F153" t="s">
        <v>1065</v>
      </c>
      <c r="G153" t="s">
        <v>1011</v>
      </c>
      <c r="H153" s="2">
        <v>20000</v>
      </c>
      <c r="I153" t="s">
        <v>1211</v>
      </c>
      <c r="J153" t="s">
        <v>1030</v>
      </c>
      <c r="K153" t="s">
        <v>1031</v>
      </c>
    </row>
    <row r="154" spans="1:11" x14ac:dyDescent="0.25">
      <c r="A154" t="s">
        <v>153</v>
      </c>
      <c r="B154" s="1">
        <v>45489</v>
      </c>
      <c r="C154">
        <v>2024</v>
      </c>
      <c r="D154" t="s">
        <v>1221</v>
      </c>
      <c r="E154" t="s">
        <v>1208</v>
      </c>
      <c r="F154" t="s">
        <v>1046</v>
      </c>
      <c r="G154" t="s">
        <v>1014</v>
      </c>
      <c r="H154" s="2">
        <v>3900</v>
      </c>
      <c r="I154" t="s">
        <v>1206</v>
      </c>
      <c r="J154" t="s">
        <v>1030</v>
      </c>
      <c r="K154" t="s">
        <v>1031</v>
      </c>
    </row>
    <row r="155" spans="1:11" x14ac:dyDescent="0.25">
      <c r="A155" t="s">
        <v>154</v>
      </c>
      <c r="B155" s="1">
        <v>45490</v>
      </c>
      <c r="C155">
        <v>2024</v>
      </c>
      <c r="D155" t="s">
        <v>1221</v>
      </c>
      <c r="E155" t="s">
        <v>1208</v>
      </c>
      <c r="F155" t="s">
        <v>1068</v>
      </c>
      <c r="G155" t="s">
        <v>1011</v>
      </c>
      <c r="H155" s="2">
        <v>19000</v>
      </c>
      <c r="I155" t="s">
        <v>1206</v>
      </c>
      <c r="J155" t="s">
        <v>1030</v>
      </c>
      <c r="K155" t="s">
        <v>1031</v>
      </c>
    </row>
    <row r="156" spans="1:11" x14ac:dyDescent="0.25">
      <c r="A156" t="s">
        <v>155</v>
      </c>
      <c r="B156" s="1">
        <v>45491</v>
      </c>
      <c r="C156">
        <v>2024</v>
      </c>
      <c r="D156" t="s">
        <v>1221</v>
      </c>
      <c r="E156" t="s">
        <v>1208</v>
      </c>
      <c r="F156" t="s">
        <v>1077</v>
      </c>
      <c r="G156" t="s">
        <v>1011</v>
      </c>
      <c r="H156" s="2">
        <v>22000</v>
      </c>
      <c r="I156" t="s">
        <v>1206</v>
      </c>
      <c r="J156" t="s">
        <v>1030</v>
      </c>
      <c r="K156" t="s">
        <v>1031</v>
      </c>
    </row>
    <row r="157" spans="1:11" x14ac:dyDescent="0.25">
      <c r="A157" t="s">
        <v>156</v>
      </c>
      <c r="B157" s="1">
        <v>45492</v>
      </c>
      <c r="C157">
        <v>2024</v>
      </c>
      <c r="D157" t="s">
        <v>1221</v>
      </c>
      <c r="E157" t="s">
        <v>1208</v>
      </c>
      <c r="F157" t="s">
        <v>1065</v>
      </c>
      <c r="G157" t="s">
        <v>1011</v>
      </c>
      <c r="H157" s="2">
        <v>15000</v>
      </c>
      <c r="I157" t="s">
        <v>1206</v>
      </c>
      <c r="J157" t="s">
        <v>1030</v>
      </c>
      <c r="K157" t="s">
        <v>1031</v>
      </c>
    </row>
    <row r="158" spans="1:11" x14ac:dyDescent="0.25">
      <c r="A158" t="s">
        <v>157</v>
      </c>
      <c r="B158" s="1">
        <v>45491</v>
      </c>
      <c r="C158">
        <v>2024</v>
      </c>
      <c r="D158" t="s">
        <v>1221</v>
      </c>
      <c r="E158" t="s">
        <v>1208</v>
      </c>
      <c r="F158" t="s">
        <v>1018</v>
      </c>
      <c r="G158" t="s">
        <v>1013</v>
      </c>
      <c r="H158" s="2">
        <v>2000</v>
      </c>
      <c r="I158" t="s">
        <v>1206</v>
      </c>
      <c r="J158" t="s">
        <v>1030</v>
      </c>
      <c r="K158" t="s">
        <v>1031</v>
      </c>
    </row>
    <row r="159" spans="1:11" x14ac:dyDescent="0.25">
      <c r="A159" t="s">
        <v>158</v>
      </c>
      <c r="B159" s="1">
        <v>45495</v>
      </c>
      <c r="C159">
        <v>2024</v>
      </c>
      <c r="D159" t="s">
        <v>1221</v>
      </c>
      <c r="E159" t="s">
        <v>1208</v>
      </c>
      <c r="F159" t="s">
        <v>1065</v>
      </c>
      <c r="G159" t="s">
        <v>1011</v>
      </c>
      <c r="H159" s="2">
        <v>25000</v>
      </c>
      <c r="I159" t="s">
        <v>1211</v>
      </c>
      <c r="J159" t="s">
        <v>1030</v>
      </c>
      <c r="K159" t="s">
        <v>1031</v>
      </c>
    </row>
    <row r="160" spans="1:11" x14ac:dyDescent="0.25">
      <c r="A160" t="s">
        <v>159</v>
      </c>
      <c r="B160" s="1">
        <v>45495</v>
      </c>
      <c r="C160">
        <v>2024</v>
      </c>
      <c r="D160" t="s">
        <v>1221</v>
      </c>
      <c r="E160" t="s">
        <v>1210</v>
      </c>
      <c r="F160" t="s">
        <v>1035</v>
      </c>
      <c r="G160" t="s">
        <v>1197</v>
      </c>
      <c r="H160" s="2">
        <v>11000</v>
      </c>
      <c r="I160" t="s">
        <v>1206</v>
      </c>
      <c r="J160" t="s">
        <v>1030</v>
      </c>
      <c r="K160" t="s">
        <v>1031</v>
      </c>
    </row>
    <row r="161" spans="1:11" x14ac:dyDescent="0.25">
      <c r="A161" t="s">
        <v>160</v>
      </c>
      <c r="B161" s="1">
        <v>45497</v>
      </c>
      <c r="C161">
        <v>2024</v>
      </c>
      <c r="D161" t="s">
        <v>1221</v>
      </c>
      <c r="E161" t="s">
        <v>1210</v>
      </c>
      <c r="F161" t="s">
        <v>1068</v>
      </c>
      <c r="G161" t="s">
        <v>1011</v>
      </c>
      <c r="H161" s="2">
        <v>20000</v>
      </c>
      <c r="I161" t="s">
        <v>1211</v>
      </c>
      <c r="J161" t="s">
        <v>1030</v>
      </c>
      <c r="K161" t="s">
        <v>1031</v>
      </c>
    </row>
    <row r="162" spans="1:11" x14ac:dyDescent="0.25">
      <c r="A162" t="s">
        <v>161</v>
      </c>
      <c r="B162" s="1">
        <v>45497</v>
      </c>
      <c r="C162">
        <v>2024</v>
      </c>
      <c r="D162" t="s">
        <v>1221</v>
      </c>
      <c r="E162" t="s">
        <v>1210</v>
      </c>
      <c r="F162" t="s">
        <v>1077</v>
      </c>
      <c r="G162" t="s">
        <v>1011</v>
      </c>
      <c r="H162" s="2">
        <v>22000</v>
      </c>
      <c r="I162" t="s">
        <v>1211</v>
      </c>
      <c r="J162" t="s">
        <v>1030</v>
      </c>
      <c r="K162" t="s">
        <v>1031</v>
      </c>
    </row>
    <row r="163" spans="1:11" x14ac:dyDescent="0.25">
      <c r="A163" t="s">
        <v>162</v>
      </c>
      <c r="B163" s="1">
        <v>45498</v>
      </c>
      <c r="C163">
        <v>2024</v>
      </c>
      <c r="D163" t="s">
        <v>1221</v>
      </c>
      <c r="E163" t="s">
        <v>1210</v>
      </c>
      <c r="F163" t="s">
        <v>1025</v>
      </c>
      <c r="G163" t="s">
        <v>1014</v>
      </c>
      <c r="H163" s="2">
        <v>5000</v>
      </c>
      <c r="I163" t="s">
        <v>1206</v>
      </c>
      <c r="J163" t="s">
        <v>1030</v>
      </c>
      <c r="K163" t="s">
        <v>1031</v>
      </c>
    </row>
    <row r="164" spans="1:11" x14ac:dyDescent="0.25">
      <c r="A164" t="s">
        <v>163</v>
      </c>
      <c r="B164" s="1">
        <v>45498</v>
      </c>
      <c r="C164">
        <v>2024</v>
      </c>
      <c r="D164" t="s">
        <v>1221</v>
      </c>
      <c r="E164" t="s">
        <v>1210</v>
      </c>
      <c r="F164" t="s">
        <v>1065</v>
      </c>
      <c r="G164" t="s">
        <v>1011</v>
      </c>
      <c r="H164" s="2">
        <v>18000</v>
      </c>
      <c r="I164" t="s">
        <v>1211</v>
      </c>
      <c r="J164" t="s">
        <v>1030</v>
      </c>
      <c r="K164" t="s">
        <v>1031</v>
      </c>
    </row>
    <row r="165" spans="1:11" x14ac:dyDescent="0.25">
      <c r="A165" t="s">
        <v>164</v>
      </c>
      <c r="B165" s="1">
        <v>45502</v>
      </c>
      <c r="C165">
        <v>2024</v>
      </c>
      <c r="D165" t="s">
        <v>1221</v>
      </c>
      <c r="E165" t="s">
        <v>1210</v>
      </c>
      <c r="F165" t="s">
        <v>1065</v>
      </c>
      <c r="G165" t="s">
        <v>1011</v>
      </c>
      <c r="H165" s="2">
        <v>25000</v>
      </c>
      <c r="I165" t="s">
        <v>1206</v>
      </c>
      <c r="J165" t="s">
        <v>1030</v>
      </c>
      <c r="K165" t="s">
        <v>1031</v>
      </c>
    </row>
    <row r="166" spans="1:11" x14ac:dyDescent="0.25">
      <c r="A166" t="s">
        <v>165</v>
      </c>
      <c r="B166" s="1">
        <v>45502</v>
      </c>
      <c r="C166">
        <v>2024</v>
      </c>
      <c r="D166" t="s">
        <v>1221</v>
      </c>
      <c r="E166" t="s">
        <v>1213</v>
      </c>
      <c r="F166" t="s">
        <v>1035</v>
      </c>
      <c r="G166" t="s">
        <v>1197</v>
      </c>
      <c r="H166" s="2">
        <v>11000</v>
      </c>
      <c r="I166" t="s">
        <v>1206</v>
      </c>
      <c r="J166" t="s">
        <v>1030</v>
      </c>
      <c r="K166" t="s">
        <v>1031</v>
      </c>
    </row>
    <row r="167" spans="1:11" x14ac:dyDescent="0.25">
      <c r="A167" t="s">
        <v>166</v>
      </c>
      <c r="B167" s="1">
        <v>45503</v>
      </c>
      <c r="C167">
        <v>2024</v>
      </c>
      <c r="D167" t="s">
        <v>1221</v>
      </c>
      <c r="E167" t="s">
        <v>1213</v>
      </c>
      <c r="F167" t="s">
        <v>1077</v>
      </c>
      <c r="G167" t="s">
        <v>1011</v>
      </c>
      <c r="H167" s="2">
        <v>25000</v>
      </c>
      <c r="I167" t="s">
        <v>1206</v>
      </c>
      <c r="J167" t="s">
        <v>1030</v>
      </c>
      <c r="K167" t="s">
        <v>1031</v>
      </c>
    </row>
    <row r="168" spans="1:11" x14ac:dyDescent="0.25">
      <c r="A168" t="s">
        <v>167</v>
      </c>
      <c r="B168" s="1">
        <v>45503</v>
      </c>
      <c r="C168">
        <v>2024</v>
      </c>
      <c r="D168" t="s">
        <v>1221</v>
      </c>
      <c r="E168" t="s">
        <v>1213</v>
      </c>
      <c r="F168" t="s">
        <v>1082</v>
      </c>
      <c r="G168" t="s">
        <v>1198</v>
      </c>
      <c r="H168" s="2">
        <v>66000</v>
      </c>
      <c r="I168" t="s">
        <v>1206</v>
      </c>
      <c r="J168" t="s">
        <v>1030</v>
      </c>
      <c r="K168" t="s">
        <v>1031</v>
      </c>
    </row>
    <row r="169" spans="1:11" x14ac:dyDescent="0.25">
      <c r="A169" t="s">
        <v>168</v>
      </c>
      <c r="B169" s="1">
        <v>45504</v>
      </c>
      <c r="C169">
        <v>2024</v>
      </c>
      <c r="D169" t="s">
        <v>1221</v>
      </c>
      <c r="E169" t="s">
        <v>1213</v>
      </c>
      <c r="F169" t="s">
        <v>1023</v>
      </c>
      <c r="G169" t="s">
        <v>1201</v>
      </c>
      <c r="H169" s="2">
        <v>7000</v>
      </c>
      <c r="I169" t="s">
        <v>1212</v>
      </c>
      <c r="J169" t="s">
        <v>1030</v>
      </c>
      <c r="K169" t="s">
        <v>1031</v>
      </c>
    </row>
    <row r="170" spans="1:11" x14ac:dyDescent="0.25">
      <c r="A170" t="s">
        <v>169</v>
      </c>
      <c r="B170" s="1">
        <v>45504</v>
      </c>
      <c r="C170">
        <v>2024</v>
      </c>
      <c r="D170" t="s">
        <v>1221</v>
      </c>
      <c r="E170" t="s">
        <v>1213</v>
      </c>
      <c r="F170" t="s">
        <v>1065</v>
      </c>
      <c r="G170" t="s">
        <v>1011</v>
      </c>
      <c r="H170" s="2">
        <v>18000</v>
      </c>
      <c r="I170" t="s">
        <v>1206</v>
      </c>
      <c r="J170" t="s">
        <v>1030</v>
      </c>
      <c r="K170" t="s">
        <v>1031</v>
      </c>
    </row>
    <row r="171" spans="1:11" x14ac:dyDescent="0.25">
      <c r="A171" t="s">
        <v>170</v>
      </c>
      <c r="B171" s="1">
        <v>45504</v>
      </c>
      <c r="C171">
        <v>2024</v>
      </c>
      <c r="D171" t="s">
        <v>1221</v>
      </c>
      <c r="E171" t="s">
        <v>1213</v>
      </c>
      <c r="F171" t="s">
        <v>1083</v>
      </c>
      <c r="G171" t="s">
        <v>1011</v>
      </c>
      <c r="H171" s="2">
        <v>20000</v>
      </c>
      <c r="I171" t="s">
        <v>1206</v>
      </c>
      <c r="J171" t="s">
        <v>1030</v>
      </c>
      <c r="K171" t="s">
        <v>1031</v>
      </c>
    </row>
    <row r="172" spans="1:11" x14ac:dyDescent="0.25">
      <c r="A172" t="s">
        <v>171</v>
      </c>
      <c r="B172" s="1">
        <v>45505</v>
      </c>
      <c r="C172">
        <v>2024</v>
      </c>
      <c r="D172" t="s">
        <v>1222</v>
      </c>
      <c r="E172" t="s">
        <v>1205</v>
      </c>
      <c r="F172" t="s">
        <v>1018</v>
      </c>
      <c r="G172" t="s">
        <v>1013</v>
      </c>
      <c r="H172" s="2">
        <v>8000</v>
      </c>
      <c r="I172" t="s">
        <v>1206</v>
      </c>
      <c r="J172" t="s">
        <v>1030</v>
      </c>
      <c r="K172" t="s">
        <v>1031</v>
      </c>
    </row>
    <row r="173" spans="1:11" x14ac:dyDescent="0.25">
      <c r="A173" t="s">
        <v>172</v>
      </c>
      <c r="B173" s="1">
        <v>45504</v>
      </c>
      <c r="C173">
        <v>2024</v>
      </c>
      <c r="D173" t="s">
        <v>1221</v>
      </c>
      <c r="E173" t="s">
        <v>1213</v>
      </c>
      <c r="F173" t="s">
        <v>1084</v>
      </c>
      <c r="G173" t="s">
        <v>1010</v>
      </c>
      <c r="H173" s="2">
        <v>17360</v>
      </c>
      <c r="I173" t="s">
        <v>1211</v>
      </c>
      <c r="J173" t="s">
        <v>1030</v>
      </c>
      <c r="K173" t="s">
        <v>1031</v>
      </c>
    </row>
    <row r="174" spans="1:11" x14ac:dyDescent="0.25">
      <c r="A174" t="s">
        <v>173</v>
      </c>
      <c r="B174" s="1">
        <v>45509</v>
      </c>
      <c r="C174">
        <v>2024</v>
      </c>
      <c r="D174" t="s">
        <v>1222</v>
      </c>
      <c r="E174" t="s">
        <v>1205</v>
      </c>
      <c r="F174" t="s">
        <v>1085</v>
      </c>
      <c r="G174" t="s">
        <v>1199</v>
      </c>
      <c r="H174" s="2">
        <v>20000</v>
      </c>
      <c r="I174" t="s">
        <v>1206</v>
      </c>
      <c r="J174" t="s">
        <v>1030</v>
      </c>
      <c r="K174" t="s">
        <v>1031</v>
      </c>
    </row>
    <row r="175" spans="1:11" x14ac:dyDescent="0.25">
      <c r="A175" t="s">
        <v>174</v>
      </c>
      <c r="B175" s="1">
        <v>45509</v>
      </c>
      <c r="C175">
        <v>2024</v>
      </c>
      <c r="D175" t="s">
        <v>1222</v>
      </c>
      <c r="E175" t="s">
        <v>1205</v>
      </c>
      <c r="F175" t="s">
        <v>1079</v>
      </c>
      <c r="G175" t="s">
        <v>1199</v>
      </c>
      <c r="H175" s="2">
        <v>18000</v>
      </c>
      <c r="I175" t="s">
        <v>1206</v>
      </c>
      <c r="J175" t="s">
        <v>1030</v>
      </c>
      <c r="K175" t="s">
        <v>1031</v>
      </c>
    </row>
    <row r="176" spans="1:11" x14ac:dyDescent="0.25">
      <c r="A176" t="s">
        <v>175</v>
      </c>
      <c r="B176" s="1">
        <v>45510</v>
      </c>
      <c r="C176">
        <v>2024</v>
      </c>
      <c r="D176" t="s">
        <v>1222</v>
      </c>
      <c r="E176" t="s">
        <v>1205</v>
      </c>
      <c r="F176" t="s">
        <v>1025</v>
      </c>
      <c r="G176" t="s">
        <v>1014</v>
      </c>
      <c r="H176" s="2">
        <v>5000</v>
      </c>
      <c r="I176" t="s">
        <v>1206</v>
      </c>
      <c r="J176" t="s">
        <v>1030</v>
      </c>
      <c r="K176" t="s">
        <v>1031</v>
      </c>
    </row>
    <row r="177" spans="1:11" x14ac:dyDescent="0.25">
      <c r="A177" t="s">
        <v>176</v>
      </c>
      <c r="B177" s="1">
        <v>45506</v>
      </c>
      <c r="C177">
        <v>2024</v>
      </c>
      <c r="D177" t="s">
        <v>1222</v>
      </c>
      <c r="E177" t="s">
        <v>1205</v>
      </c>
      <c r="F177" t="s">
        <v>1033</v>
      </c>
      <c r="G177" t="s">
        <v>1014</v>
      </c>
      <c r="H177" s="2">
        <v>78770</v>
      </c>
      <c r="I177" t="s">
        <v>1211</v>
      </c>
      <c r="J177" t="s">
        <v>1030</v>
      </c>
      <c r="K177" t="s">
        <v>1031</v>
      </c>
    </row>
    <row r="178" spans="1:11" x14ac:dyDescent="0.25">
      <c r="A178" t="s">
        <v>177</v>
      </c>
      <c r="B178" s="1">
        <v>45516</v>
      </c>
      <c r="C178">
        <v>2024</v>
      </c>
      <c r="D178" t="s">
        <v>1222</v>
      </c>
      <c r="E178" t="s">
        <v>1207</v>
      </c>
      <c r="F178" t="s">
        <v>1035</v>
      </c>
      <c r="G178" t="s">
        <v>1197</v>
      </c>
      <c r="H178" s="2">
        <v>11000</v>
      </c>
      <c r="I178" t="s">
        <v>1206</v>
      </c>
      <c r="J178" t="s">
        <v>1030</v>
      </c>
      <c r="K178" t="s">
        <v>1031</v>
      </c>
    </row>
    <row r="179" spans="1:11" x14ac:dyDescent="0.25">
      <c r="A179" t="s">
        <v>178</v>
      </c>
      <c r="B179" s="1">
        <v>45516</v>
      </c>
      <c r="C179">
        <v>2024</v>
      </c>
      <c r="D179" t="s">
        <v>1222</v>
      </c>
      <c r="E179" t="s">
        <v>1207</v>
      </c>
      <c r="F179" t="s">
        <v>1086</v>
      </c>
      <c r="G179" t="s">
        <v>1011</v>
      </c>
      <c r="H179" s="2">
        <v>25000</v>
      </c>
      <c r="I179" t="s">
        <v>1206</v>
      </c>
      <c r="J179" t="s">
        <v>1030</v>
      </c>
      <c r="K179" t="s">
        <v>1031</v>
      </c>
    </row>
    <row r="180" spans="1:11" x14ac:dyDescent="0.25">
      <c r="A180" t="s">
        <v>179</v>
      </c>
      <c r="B180" s="1">
        <v>45518</v>
      </c>
      <c r="C180">
        <v>2024</v>
      </c>
      <c r="D180" t="s">
        <v>1222</v>
      </c>
      <c r="E180" t="s">
        <v>1207</v>
      </c>
      <c r="F180" t="s">
        <v>1083</v>
      </c>
      <c r="G180" t="s">
        <v>1011</v>
      </c>
      <c r="H180" s="2">
        <v>20000</v>
      </c>
      <c r="I180" t="s">
        <v>1206</v>
      </c>
      <c r="J180" t="s">
        <v>1030</v>
      </c>
      <c r="K180" t="s">
        <v>1031</v>
      </c>
    </row>
    <row r="181" spans="1:11" x14ac:dyDescent="0.25">
      <c r="A181" t="s">
        <v>180</v>
      </c>
      <c r="B181" s="1">
        <v>45516</v>
      </c>
      <c r="C181">
        <v>2024</v>
      </c>
      <c r="D181" t="s">
        <v>1222</v>
      </c>
      <c r="E181" t="s">
        <v>1207</v>
      </c>
      <c r="F181" t="s">
        <v>1087</v>
      </c>
      <c r="G181" t="s">
        <v>1199</v>
      </c>
      <c r="H181" s="2">
        <v>20000</v>
      </c>
      <c r="I181" t="s">
        <v>1206</v>
      </c>
      <c r="J181" t="s">
        <v>1030</v>
      </c>
      <c r="K181" t="s">
        <v>1031</v>
      </c>
    </row>
    <row r="182" spans="1:11" x14ac:dyDescent="0.25">
      <c r="A182" t="s">
        <v>181</v>
      </c>
      <c r="B182" s="1">
        <v>45516</v>
      </c>
      <c r="C182">
        <v>2024</v>
      </c>
      <c r="D182" t="s">
        <v>1222</v>
      </c>
      <c r="E182" t="s">
        <v>1207</v>
      </c>
      <c r="F182" t="s">
        <v>1065</v>
      </c>
      <c r="G182" t="s">
        <v>1011</v>
      </c>
      <c r="H182" s="2">
        <v>25000</v>
      </c>
      <c r="I182" t="s">
        <v>1211</v>
      </c>
      <c r="J182" t="s">
        <v>1030</v>
      </c>
      <c r="K182" t="s">
        <v>1031</v>
      </c>
    </row>
    <row r="183" spans="1:11" x14ac:dyDescent="0.25">
      <c r="A183" t="s">
        <v>182</v>
      </c>
      <c r="B183" s="1">
        <v>45518</v>
      </c>
      <c r="C183">
        <v>2024</v>
      </c>
      <c r="D183" t="s">
        <v>1222</v>
      </c>
      <c r="E183" t="s">
        <v>1207</v>
      </c>
      <c r="F183" t="s">
        <v>1065</v>
      </c>
      <c r="G183" t="s">
        <v>1011</v>
      </c>
      <c r="H183" s="2">
        <v>18000</v>
      </c>
      <c r="I183" t="s">
        <v>1206</v>
      </c>
      <c r="J183" t="s">
        <v>1030</v>
      </c>
      <c r="K183" t="s">
        <v>1031</v>
      </c>
    </row>
    <row r="184" spans="1:11" x14ac:dyDescent="0.25">
      <c r="A184" t="s">
        <v>183</v>
      </c>
      <c r="B184" s="1">
        <v>45520</v>
      </c>
      <c r="C184">
        <v>2024</v>
      </c>
      <c r="D184" t="s">
        <v>1222</v>
      </c>
      <c r="E184" t="s">
        <v>1208</v>
      </c>
      <c r="F184" t="s">
        <v>1018</v>
      </c>
      <c r="G184" t="s">
        <v>1013</v>
      </c>
      <c r="H184" s="2">
        <v>1000</v>
      </c>
      <c r="I184" t="s">
        <v>1206</v>
      </c>
      <c r="J184" t="s">
        <v>1030</v>
      </c>
      <c r="K184" t="s">
        <v>1031</v>
      </c>
    </row>
    <row r="185" spans="1:11" x14ac:dyDescent="0.25">
      <c r="A185" t="s">
        <v>184</v>
      </c>
      <c r="B185" s="1">
        <v>45522</v>
      </c>
      <c r="C185">
        <v>2024</v>
      </c>
      <c r="D185" t="s">
        <v>1222</v>
      </c>
      <c r="E185" t="s">
        <v>1208</v>
      </c>
      <c r="F185" t="s">
        <v>1018</v>
      </c>
      <c r="G185" t="s">
        <v>1013</v>
      </c>
      <c r="H185" s="2">
        <v>2000</v>
      </c>
      <c r="I185" t="s">
        <v>1206</v>
      </c>
      <c r="J185" t="s">
        <v>1030</v>
      </c>
      <c r="K185" t="s">
        <v>1031</v>
      </c>
    </row>
    <row r="186" spans="1:11" x14ac:dyDescent="0.25">
      <c r="A186" t="s">
        <v>185</v>
      </c>
      <c r="B186" s="1">
        <v>45523</v>
      </c>
      <c r="C186">
        <v>2024</v>
      </c>
      <c r="D186" t="s">
        <v>1222</v>
      </c>
      <c r="E186" t="s">
        <v>1208</v>
      </c>
      <c r="F186" t="s">
        <v>1086</v>
      </c>
      <c r="G186" t="s">
        <v>1011</v>
      </c>
      <c r="H186" s="2">
        <v>25000</v>
      </c>
      <c r="I186" t="s">
        <v>1206</v>
      </c>
      <c r="J186" t="s">
        <v>1030</v>
      </c>
      <c r="K186" t="s">
        <v>1031</v>
      </c>
    </row>
    <row r="187" spans="1:11" x14ac:dyDescent="0.25">
      <c r="A187" t="s">
        <v>186</v>
      </c>
      <c r="B187" s="1">
        <v>45523</v>
      </c>
      <c r="C187">
        <v>2024</v>
      </c>
      <c r="D187" t="s">
        <v>1222</v>
      </c>
      <c r="E187" t="s">
        <v>1208</v>
      </c>
      <c r="F187" t="s">
        <v>1209</v>
      </c>
      <c r="G187" t="s">
        <v>1197</v>
      </c>
      <c r="H187" s="2">
        <v>11000</v>
      </c>
      <c r="I187" t="s">
        <v>1206</v>
      </c>
      <c r="J187" t="s">
        <v>1030</v>
      </c>
      <c r="K187" t="s">
        <v>1031</v>
      </c>
    </row>
    <row r="188" spans="1:11" x14ac:dyDescent="0.25">
      <c r="A188" t="s">
        <v>187</v>
      </c>
      <c r="B188" s="1">
        <v>45525</v>
      </c>
      <c r="C188">
        <v>2024</v>
      </c>
      <c r="D188" t="s">
        <v>1222</v>
      </c>
      <c r="E188" t="s">
        <v>1208</v>
      </c>
      <c r="F188" t="s">
        <v>1088</v>
      </c>
      <c r="G188" t="s">
        <v>1010</v>
      </c>
      <c r="H188" s="2">
        <v>20000</v>
      </c>
      <c r="I188" t="s">
        <v>1206</v>
      </c>
      <c r="J188" t="s">
        <v>1030</v>
      </c>
      <c r="K188" t="s">
        <v>1031</v>
      </c>
    </row>
    <row r="189" spans="1:11" x14ac:dyDescent="0.25">
      <c r="A189" t="s">
        <v>188</v>
      </c>
      <c r="B189" s="1">
        <v>45525</v>
      </c>
      <c r="C189">
        <v>2024</v>
      </c>
      <c r="D189" t="s">
        <v>1222</v>
      </c>
      <c r="E189" t="s">
        <v>1208</v>
      </c>
      <c r="F189" t="s">
        <v>1089</v>
      </c>
      <c r="G189" t="s">
        <v>1198</v>
      </c>
      <c r="H189" s="2">
        <v>19000</v>
      </c>
      <c r="I189" t="s">
        <v>1212</v>
      </c>
      <c r="J189" t="s">
        <v>1030</v>
      </c>
      <c r="K189" t="s">
        <v>1031</v>
      </c>
    </row>
    <row r="190" spans="1:11" x14ac:dyDescent="0.25">
      <c r="A190" t="s">
        <v>189</v>
      </c>
      <c r="B190" s="1">
        <v>45526</v>
      </c>
      <c r="C190">
        <v>2024</v>
      </c>
      <c r="D190" t="s">
        <v>1222</v>
      </c>
      <c r="E190" t="s">
        <v>1210</v>
      </c>
      <c r="F190" t="s">
        <v>1086</v>
      </c>
      <c r="G190" t="s">
        <v>1011</v>
      </c>
      <c r="H190" s="2">
        <v>18000</v>
      </c>
      <c r="I190" t="s">
        <v>1206</v>
      </c>
      <c r="J190" t="s">
        <v>1030</v>
      </c>
      <c r="K190" t="s">
        <v>1031</v>
      </c>
    </row>
    <row r="191" spans="1:11" x14ac:dyDescent="0.25">
      <c r="A191" t="s">
        <v>190</v>
      </c>
      <c r="B191" s="1">
        <v>45530</v>
      </c>
      <c r="C191">
        <v>2024</v>
      </c>
      <c r="D191" t="s">
        <v>1222</v>
      </c>
      <c r="E191" t="s">
        <v>1210</v>
      </c>
      <c r="F191" t="s">
        <v>1090</v>
      </c>
      <c r="G191" t="s">
        <v>1010</v>
      </c>
      <c r="H191" s="2">
        <v>4500</v>
      </c>
      <c r="I191" t="s">
        <v>1212</v>
      </c>
      <c r="J191" t="s">
        <v>1030</v>
      </c>
      <c r="K191" t="s">
        <v>1031</v>
      </c>
    </row>
    <row r="192" spans="1:11" x14ac:dyDescent="0.25">
      <c r="A192" t="s">
        <v>191</v>
      </c>
      <c r="B192" s="1">
        <v>45530</v>
      </c>
      <c r="C192">
        <v>2024</v>
      </c>
      <c r="D192" t="s">
        <v>1222</v>
      </c>
      <c r="E192" t="s">
        <v>1210</v>
      </c>
      <c r="F192" t="s">
        <v>1041</v>
      </c>
      <c r="G192" t="s">
        <v>1010</v>
      </c>
      <c r="H192" s="2">
        <v>2500</v>
      </c>
      <c r="I192" t="s">
        <v>1212</v>
      </c>
      <c r="J192" t="s">
        <v>1030</v>
      </c>
      <c r="K192" t="s">
        <v>1031</v>
      </c>
    </row>
    <row r="193" spans="1:11" x14ac:dyDescent="0.25">
      <c r="A193" t="s">
        <v>192</v>
      </c>
      <c r="B193" s="1">
        <v>45530</v>
      </c>
      <c r="C193">
        <v>2024</v>
      </c>
      <c r="D193" t="s">
        <v>1222</v>
      </c>
      <c r="E193" t="s">
        <v>1210</v>
      </c>
      <c r="F193" t="s">
        <v>1065</v>
      </c>
      <c r="G193" t="s">
        <v>1011</v>
      </c>
      <c r="H193" s="2">
        <v>25000</v>
      </c>
      <c r="I193" t="s">
        <v>1206</v>
      </c>
      <c r="J193" t="s">
        <v>1030</v>
      </c>
      <c r="K193" t="s">
        <v>1031</v>
      </c>
    </row>
    <row r="194" spans="1:11" x14ac:dyDescent="0.25">
      <c r="A194" t="s">
        <v>193</v>
      </c>
      <c r="B194" s="1">
        <v>45530</v>
      </c>
      <c r="C194">
        <v>2024</v>
      </c>
      <c r="D194" t="s">
        <v>1222</v>
      </c>
      <c r="E194" t="s">
        <v>1210</v>
      </c>
      <c r="F194" t="s">
        <v>1035</v>
      </c>
      <c r="G194" t="s">
        <v>1197</v>
      </c>
      <c r="H194" s="2">
        <v>11000</v>
      </c>
      <c r="I194" t="s">
        <v>1206</v>
      </c>
      <c r="J194" t="s">
        <v>1030</v>
      </c>
      <c r="K194" t="s">
        <v>1031</v>
      </c>
    </row>
    <row r="195" spans="1:11" x14ac:dyDescent="0.25">
      <c r="A195" t="s">
        <v>194</v>
      </c>
      <c r="B195" s="1">
        <v>45531</v>
      </c>
      <c r="C195">
        <v>2024</v>
      </c>
      <c r="D195" t="s">
        <v>1222</v>
      </c>
      <c r="E195" t="s">
        <v>1210</v>
      </c>
      <c r="F195" t="s">
        <v>1092</v>
      </c>
      <c r="G195" t="s">
        <v>1010</v>
      </c>
      <c r="H195" s="2">
        <v>2000</v>
      </c>
      <c r="I195" t="s">
        <v>1212</v>
      </c>
      <c r="J195" t="s">
        <v>1030</v>
      </c>
      <c r="K195" t="s">
        <v>1031</v>
      </c>
    </row>
    <row r="196" spans="1:11" x14ac:dyDescent="0.25">
      <c r="A196" t="s">
        <v>195</v>
      </c>
      <c r="B196" s="1">
        <v>45532</v>
      </c>
      <c r="C196">
        <v>2024</v>
      </c>
      <c r="D196" t="s">
        <v>1222</v>
      </c>
      <c r="E196" t="s">
        <v>1210</v>
      </c>
      <c r="F196" t="s">
        <v>1093</v>
      </c>
      <c r="G196" t="s">
        <v>1011</v>
      </c>
      <c r="H196" s="2">
        <v>20000</v>
      </c>
      <c r="I196" t="s">
        <v>1206</v>
      </c>
      <c r="J196" t="s">
        <v>1030</v>
      </c>
      <c r="K196" t="s">
        <v>1031</v>
      </c>
    </row>
    <row r="197" spans="1:11" x14ac:dyDescent="0.25">
      <c r="A197" t="s">
        <v>196</v>
      </c>
      <c r="B197" s="1">
        <v>45533</v>
      </c>
      <c r="C197">
        <v>2024</v>
      </c>
      <c r="D197" t="s">
        <v>1222</v>
      </c>
      <c r="E197" t="s">
        <v>1213</v>
      </c>
      <c r="F197" t="s">
        <v>1023</v>
      </c>
      <c r="G197" t="s">
        <v>1201</v>
      </c>
      <c r="H197" s="2">
        <v>7000</v>
      </c>
      <c r="I197" t="s">
        <v>1212</v>
      </c>
      <c r="J197" t="s">
        <v>1030</v>
      </c>
      <c r="K197" t="s">
        <v>1031</v>
      </c>
    </row>
    <row r="198" spans="1:11" x14ac:dyDescent="0.25">
      <c r="A198" t="s">
        <v>197</v>
      </c>
      <c r="B198" s="1">
        <v>45533</v>
      </c>
      <c r="C198">
        <v>2024</v>
      </c>
      <c r="D198" t="s">
        <v>1222</v>
      </c>
      <c r="E198" t="s">
        <v>1213</v>
      </c>
      <c r="F198" t="s">
        <v>1065</v>
      </c>
      <c r="G198" t="s">
        <v>1011</v>
      </c>
      <c r="H198" s="2">
        <v>22000</v>
      </c>
      <c r="I198" t="s">
        <v>1206</v>
      </c>
      <c r="J198" t="s">
        <v>1030</v>
      </c>
      <c r="K198" t="s">
        <v>1031</v>
      </c>
    </row>
    <row r="199" spans="1:11" x14ac:dyDescent="0.25">
      <c r="A199" t="s">
        <v>198</v>
      </c>
      <c r="B199" s="1">
        <v>45533</v>
      </c>
      <c r="C199">
        <v>2024</v>
      </c>
      <c r="D199" t="s">
        <v>1222</v>
      </c>
      <c r="E199" t="s">
        <v>1213</v>
      </c>
      <c r="F199" t="s">
        <v>1086</v>
      </c>
      <c r="G199" t="s">
        <v>1011</v>
      </c>
      <c r="H199" s="2">
        <v>21000</v>
      </c>
      <c r="I199" t="s">
        <v>1212</v>
      </c>
      <c r="J199" t="s">
        <v>1030</v>
      </c>
      <c r="K199" t="s">
        <v>1031</v>
      </c>
    </row>
    <row r="200" spans="1:11" x14ac:dyDescent="0.25">
      <c r="A200" t="s">
        <v>199</v>
      </c>
      <c r="B200" s="1">
        <v>45507</v>
      </c>
      <c r="C200">
        <v>2024</v>
      </c>
      <c r="D200" t="s">
        <v>1222</v>
      </c>
      <c r="E200" t="s">
        <v>1205</v>
      </c>
      <c r="F200" t="s">
        <v>1018</v>
      </c>
      <c r="G200" t="s">
        <v>1013</v>
      </c>
      <c r="H200" s="2">
        <v>5000</v>
      </c>
      <c r="I200" t="s">
        <v>1206</v>
      </c>
      <c r="J200" t="s">
        <v>1030</v>
      </c>
      <c r="K200" t="s">
        <v>1031</v>
      </c>
    </row>
    <row r="201" spans="1:11" x14ac:dyDescent="0.25">
      <c r="A201" t="s">
        <v>200</v>
      </c>
      <c r="B201" s="1">
        <v>45536</v>
      </c>
      <c r="C201">
        <v>2024</v>
      </c>
      <c r="D201" t="s">
        <v>1223</v>
      </c>
      <c r="E201" t="s">
        <v>1205</v>
      </c>
      <c r="F201" t="s">
        <v>1018</v>
      </c>
      <c r="G201" t="s">
        <v>1013</v>
      </c>
      <c r="H201" s="2">
        <v>3000</v>
      </c>
      <c r="I201" t="s">
        <v>1206</v>
      </c>
      <c r="J201" t="s">
        <v>1030</v>
      </c>
      <c r="K201" t="s">
        <v>1031</v>
      </c>
    </row>
    <row r="202" spans="1:11" x14ac:dyDescent="0.25">
      <c r="A202" t="s">
        <v>201</v>
      </c>
      <c r="B202" s="1">
        <v>45538</v>
      </c>
      <c r="C202">
        <v>2024</v>
      </c>
      <c r="D202" t="s">
        <v>1223</v>
      </c>
      <c r="E202" t="s">
        <v>1205</v>
      </c>
      <c r="F202" t="s">
        <v>1033</v>
      </c>
      <c r="G202" t="s">
        <v>1014</v>
      </c>
      <c r="H202" s="2">
        <v>76170</v>
      </c>
      <c r="I202" t="s">
        <v>1211</v>
      </c>
      <c r="J202" t="s">
        <v>1030</v>
      </c>
      <c r="K202" t="s">
        <v>1031</v>
      </c>
    </row>
    <row r="203" spans="1:11" x14ac:dyDescent="0.25">
      <c r="A203" t="s">
        <v>202</v>
      </c>
      <c r="B203" s="1">
        <v>45537</v>
      </c>
      <c r="C203">
        <v>2024</v>
      </c>
      <c r="D203" t="s">
        <v>1223</v>
      </c>
      <c r="E203" t="s">
        <v>1205</v>
      </c>
      <c r="F203" t="s">
        <v>1065</v>
      </c>
      <c r="G203" t="s">
        <v>1011</v>
      </c>
      <c r="H203" s="2">
        <v>26000</v>
      </c>
      <c r="I203" t="s">
        <v>1206</v>
      </c>
      <c r="J203" t="s">
        <v>1030</v>
      </c>
      <c r="K203" t="s">
        <v>1031</v>
      </c>
    </row>
    <row r="204" spans="1:11" x14ac:dyDescent="0.25">
      <c r="A204" t="s">
        <v>203</v>
      </c>
      <c r="B204" s="1">
        <v>45537</v>
      </c>
      <c r="C204">
        <v>2024</v>
      </c>
      <c r="D204" t="s">
        <v>1223</v>
      </c>
      <c r="E204" t="s">
        <v>1205</v>
      </c>
      <c r="F204" t="s">
        <v>1094</v>
      </c>
      <c r="G204" t="s">
        <v>1198</v>
      </c>
      <c r="H204" s="2">
        <v>5500</v>
      </c>
      <c r="I204" t="s">
        <v>1212</v>
      </c>
      <c r="J204" t="s">
        <v>1030</v>
      </c>
      <c r="K204" t="s">
        <v>1031</v>
      </c>
    </row>
    <row r="205" spans="1:11" x14ac:dyDescent="0.25">
      <c r="A205" t="s">
        <v>204</v>
      </c>
      <c r="B205" s="1">
        <v>45537</v>
      </c>
      <c r="C205">
        <v>2024</v>
      </c>
      <c r="D205" t="s">
        <v>1223</v>
      </c>
      <c r="E205" t="s">
        <v>1205</v>
      </c>
      <c r="F205" t="s">
        <v>1086</v>
      </c>
      <c r="G205" t="s">
        <v>1011</v>
      </c>
      <c r="H205" s="2">
        <v>25000</v>
      </c>
      <c r="I205" t="s">
        <v>1206</v>
      </c>
      <c r="J205" t="s">
        <v>1030</v>
      </c>
      <c r="K205" t="s">
        <v>1031</v>
      </c>
    </row>
    <row r="206" spans="1:11" x14ac:dyDescent="0.25">
      <c r="A206" t="s">
        <v>205</v>
      </c>
      <c r="B206" s="1">
        <v>45537</v>
      </c>
      <c r="C206">
        <v>2024</v>
      </c>
      <c r="D206" t="s">
        <v>1223</v>
      </c>
      <c r="E206" t="s">
        <v>1205</v>
      </c>
      <c r="F206" t="s">
        <v>1049</v>
      </c>
      <c r="G206" t="s">
        <v>1199</v>
      </c>
      <c r="H206" s="2">
        <v>20000</v>
      </c>
      <c r="I206" t="s">
        <v>1206</v>
      </c>
      <c r="J206" t="s">
        <v>1030</v>
      </c>
      <c r="K206" t="s">
        <v>1031</v>
      </c>
    </row>
    <row r="207" spans="1:11" x14ac:dyDescent="0.25">
      <c r="A207" t="s">
        <v>206</v>
      </c>
      <c r="B207" s="1">
        <v>45537</v>
      </c>
      <c r="C207">
        <v>2024</v>
      </c>
      <c r="D207" t="s">
        <v>1223</v>
      </c>
      <c r="E207" t="s">
        <v>1205</v>
      </c>
      <c r="F207" t="s">
        <v>1035</v>
      </c>
      <c r="G207" t="s">
        <v>1197</v>
      </c>
      <c r="H207" s="2">
        <v>11000</v>
      </c>
      <c r="I207" t="s">
        <v>1206</v>
      </c>
      <c r="J207" t="s">
        <v>1030</v>
      </c>
      <c r="K207" t="s">
        <v>1031</v>
      </c>
    </row>
    <row r="208" spans="1:11" x14ac:dyDescent="0.25">
      <c r="A208" t="s">
        <v>207</v>
      </c>
      <c r="B208" s="1">
        <v>45537</v>
      </c>
      <c r="C208">
        <v>2024</v>
      </c>
      <c r="D208" t="s">
        <v>1223</v>
      </c>
      <c r="E208" t="s">
        <v>1205</v>
      </c>
      <c r="F208" t="s">
        <v>1025</v>
      </c>
      <c r="G208" t="s">
        <v>1014</v>
      </c>
      <c r="H208" s="2">
        <v>5000</v>
      </c>
      <c r="I208" t="s">
        <v>1206</v>
      </c>
      <c r="J208" t="s">
        <v>1030</v>
      </c>
      <c r="K208" t="s">
        <v>1031</v>
      </c>
    </row>
    <row r="209" spans="1:11" x14ac:dyDescent="0.25">
      <c r="A209" t="s">
        <v>208</v>
      </c>
      <c r="B209" s="1">
        <v>45538</v>
      </c>
      <c r="C209">
        <v>2024</v>
      </c>
      <c r="D209" t="s">
        <v>1223</v>
      </c>
      <c r="E209" t="s">
        <v>1205</v>
      </c>
      <c r="F209" t="s">
        <v>1095</v>
      </c>
      <c r="G209" t="s">
        <v>1010</v>
      </c>
      <c r="H209" s="2">
        <v>12000</v>
      </c>
      <c r="I209" t="s">
        <v>1206</v>
      </c>
      <c r="J209" t="s">
        <v>1030</v>
      </c>
      <c r="K209" t="s">
        <v>1031</v>
      </c>
    </row>
    <row r="210" spans="1:11" x14ac:dyDescent="0.25">
      <c r="A210" t="s">
        <v>209</v>
      </c>
      <c r="B210" s="1">
        <v>45538</v>
      </c>
      <c r="C210">
        <v>2024</v>
      </c>
      <c r="D210" t="s">
        <v>1223</v>
      </c>
      <c r="E210" t="s">
        <v>1205</v>
      </c>
      <c r="F210" t="s">
        <v>1096</v>
      </c>
      <c r="G210" t="s">
        <v>1015</v>
      </c>
      <c r="H210" s="2">
        <v>3500</v>
      </c>
      <c r="I210" t="s">
        <v>1212</v>
      </c>
      <c r="J210" t="s">
        <v>1030</v>
      </c>
      <c r="K210" t="s">
        <v>1031</v>
      </c>
    </row>
    <row r="211" spans="1:11" x14ac:dyDescent="0.25">
      <c r="A211" t="s">
        <v>210</v>
      </c>
      <c r="B211" s="1">
        <v>45539</v>
      </c>
      <c r="C211">
        <v>2024</v>
      </c>
      <c r="D211" t="s">
        <v>1223</v>
      </c>
      <c r="E211" t="s">
        <v>1205</v>
      </c>
      <c r="F211" t="s">
        <v>1097</v>
      </c>
      <c r="G211" t="s">
        <v>1010</v>
      </c>
      <c r="H211" s="2">
        <v>10000</v>
      </c>
      <c r="I211" t="s">
        <v>1206</v>
      </c>
      <c r="J211" t="s">
        <v>1030</v>
      </c>
      <c r="K211" t="s">
        <v>1031</v>
      </c>
    </row>
    <row r="212" spans="1:11" x14ac:dyDescent="0.25">
      <c r="A212" t="s">
        <v>211</v>
      </c>
      <c r="B212" s="1">
        <v>45539</v>
      </c>
      <c r="C212">
        <v>2024</v>
      </c>
      <c r="D212" t="s">
        <v>1223</v>
      </c>
      <c r="E212" t="s">
        <v>1205</v>
      </c>
      <c r="F212" t="s">
        <v>1093</v>
      </c>
      <c r="G212" t="s">
        <v>1011</v>
      </c>
      <c r="H212" s="2">
        <v>22000</v>
      </c>
      <c r="I212" t="s">
        <v>1206</v>
      </c>
      <c r="J212" t="s">
        <v>1030</v>
      </c>
      <c r="K212" t="s">
        <v>1031</v>
      </c>
    </row>
    <row r="213" spans="1:11" x14ac:dyDescent="0.25">
      <c r="A213" t="s">
        <v>212</v>
      </c>
      <c r="B213" s="1">
        <v>45540</v>
      </c>
      <c r="C213">
        <v>2024</v>
      </c>
      <c r="D213" t="s">
        <v>1223</v>
      </c>
      <c r="E213" t="s">
        <v>1205</v>
      </c>
      <c r="F213" t="s">
        <v>1086</v>
      </c>
      <c r="G213" t="s">
        <v>1011</v>
      </c>
      <c r="H213" s="2">
        <v>25000</v>
      </c>
      <c r="I213" t="s">
        <v>1206</v>
      </c>
      <c r="J213" t="s">
        <v>1030</v>
      </c>
      <c r="K213" t="s">
        <v>1031</v>
      </c>
    </row>
    <row r="214" spans="1:11" x14ac:dyDescent="0.25">
      <c r="A214" t="s">
        <v>213</v>
      </c>
      <c r="B214" s="1">
        <v>45540</v>
      </c>
      <c r="C214">
        <v>2024</v>
      </c>
      <c r="D214" t="s">
        <v>1223</v>
      </c>
      <c r="E214" t="s">
        <v>1205</v>
      </c>
      <c r="F214" t="s">
        <v>1065</v>
      </c>
      <c r="G214" t="s">
        <v>1011</v>
      </c>
      <c r="H214" s="2">
        <v>25000</v>
      </c>
      <c r="I214" t="s">
        <v>1206</v>
      </c>
      <c r="J214" t="s">
        <v>1030</v>
      </c>
      <c r="K214" t="s">
        <v>1031</v>
      </c>
    </row>
    <row r="215" spans="1:11" x14ac:dyDescent="0.25">
      <c r="A215" t="s">
        <v>214</v>
      </c>
      <c r="B215" s="1">
        <v>45541</v>
      </c>
      <c r="C215">
        <v>2024</v>
      </c>
      <c r="D215" t="s">
        <v>1223</v>
      </c>
      <c r="E215" t="s">
        <v>1205</v>
      </c>
      <c r="F215" t="s">
        <v>1098</v>
      </c>
      <c r="G215" t="s">
        <v>1015</v>
      </c>
      <c r="H215" s="2">
        <v>3000</v>
      </c>
      <c r="I215" t="s">
        <v>1206</v>
      </c>
      <c r="J215" t="s">
        <v>1030</v>
      </c>
      <c r="K215" t="s">
        <v>1031</v>
      </c>
    </row>
    <row r="216" spans="1:11" x14ac:dyDescent="0.25">
      <c r="A216" t="s">
        <v>215</v>
      </c>
      <c r="B216" s="1">
        <v>45544</v>
      </c>
      <c r="C216">
        <v>2024</v>
      </c>
      <c r="D216" t="s">
        <v>1223</v>
      </c>
      <c r="E216" t="s">
        <v>1207</v>
      </c>
      <c r="F216" t="s">
        <v>1086</v>
      </c>
      <c r="G216" t="s">
        <v>1011</v>
      </c>
      <c r="H216" s="2">
        <v>25000</v>
      </c>
      <c r="I216" t="s">
        <v>1211</v>
      </c>
      <c r="J216" t="s">
        <v>1030</v>
      </c>
      <c r="K216" t="s">
        <v>1031</v>
      </c>
    </row>
    <row r="217" spans="1:11" x14ac:dyDescent="0.25">
      <c r="A217" t="s">
        <v>216</v>
      </c>
      <c r="B217" s="1">
        <v>45544</v>
      </c>
      <c r="C217">
        <v>2024</v>
      </c>
      <c r="D217" t="s">
        <v>1223</v>
      </c>
      <c r="E217" t="s">
        <v>1207</v>
      </c>
      <c r="F217" t="s">
        <v>1037</v>
      </c>
      <c r="G217" t="s">
        <v>1199</v>
      </c>
      <c r="H217" s="2">
        <v>20000</v>
      </c>
      <c r="I217" t="s">
        <v>1206</v>
      </c>
      <c r="J217" t="s">
        <v>1030</v>
      </c>
      <c r="K217" t="s">
        <v>1031</v>
      </c>
    </row>
    <row r="218" spans="1:11" x14ac:dyDescent="0.25">
      <c r="A218" t="s">
        <v>217</v>
      </c>
      <c r="B218" s="1">
        <v>45544</v>
      </c>
      <c r="C218">
        <v>2024</v>
      </c>
      <c r="D218" t="s">
        <v>1223</v>
      </c>
      <c r="E218" t="s">
        <v>1207</v>
      </c>
      <c r="F218" t="s">
        <v>1040</v>
      </c>
      <c r="G218" t="s">
        <v>1199</v>
      </c>
      <c r="H218" s="2">
        <v>20000</v>
      </c>
      <c r="I218" t="s">
        <v>1206</v>
      </c>
      <c r="J218" t="s">
        <v>1030</v>
      </c>
      <c r="K218" t="s">
        <v>1031</v>
      </c>
    </row>
    <row r="219" spans="1:11" x14ac:dyDescent="0.25">
      <c r="A219" t="s">
        <v>218</v>
      </c>
      <c r="B219" s="1">
        <v>45544</v>
      </c>
      <c r="C219">
        <v>2024</v>
      </c>
      <c r="D219" t="s">
        <v>1223</v>
      </c>
      <c r="E219" t="s">
        <v>1207</v>
      </c>
      <c r="F219" t="s">
        <v>1035</v>
      </c>
      <c r="G219" t="s">
        <v>1197</v>
      </c>
      <c r="H219" s="2">
        <v>11000</v>
      </c>
      <c r="I219" t="s">
        <v>1206</v>
      </c>
      <c r="J219" t="s">
        <v>1030</v>
      </c>
      <c r="K219" t="s">
        <v>1031</v>
      </c>
    </row>
    <row r="220" spans="1:11" x14ac:dyDescent="0.25">
      <c r="A220" t="s">
        <v>219</v>
      </c>
      <c r="B220" s="1">
        <v>45546</v>
      </c>
      <c r="C220">
        <v>2024</v>
      </c>
      <c r="D220" t="s">
        <v>1223</v>
      </c>
      <c r="E220" t="s">
        <v>1207</v>
      </c>
      <c r="F220" t="s">
        <v>1093</v>
      </c>
      <c r="G220" t="s">
        <v>1011</v>
      </c>
      <c r="H220" s="2">
        <v>22000</v>
      </c>
      <c r="I220" t="s">
        <v>1206</v>
      </c>
      <c r="J220" t="s">
        <v>1030</v>
      </c>
      <c r="K220" t="s">
        <v>1031</v>
      </c>
    </row>
    <row r="221" spans="1:11" x14ac:dyDescent="0.25">
      <c r="A221" t="s">
        <v>220</v>
      </c>
      <c r="B221" s="1">
        <v>45546</v>
      </c>
      <c r="C221">
        <v>2024</v>
      </c>
      <c r="D221" t="s">
        <v>1223</v>
      </c>
      <c r="E221" t="s">
        <v>1207</v>
      </c>
      <c r="F221" t="s">
        <v>1065</v>
      </c>
      <c r="G221" t="s">
        <v>1011</v>
      </c>
      <c r="H221" s="2">
        <v>35000</v>
      </c>
      <c r="I221" t="s">
        <v>1211</v>
      </c>
      <c r="J221" t="s">
        <v>1030</v>
      </c>
      <c r="K221" t="s">
        <v>1031</v>
      </c>
    </row>
    <row r="222" spans="1:11" x14ac:dyDescent="0.25">
      <c r="A222" t="s">
        <v>221</v>
      </c>
      <c r="B222" s="1">
        <v>45546</v>
      </c>
      <c r="C222">
        <v>2024</v>
      </c>
      <c r="D222" t="s">
        <v>1223</v>
      </c>
      <c r="E222" t="s">
        <v>1207</v>
      </c>
      <c r="F222" t="s">
        <v>1018</v>
      </c>
      <c r="G222" t="s">
        <v>1013</v>
      </c>
      <c r="H222" s="2">
        <v>3000</v>
      </c>
      <c r="I222" t="s">
        <v>1206</v>
      </c>
      <c r="J222" t="s">
        <v>1030</v>
      </c>
      <c r="K222" t="s">
        <v>1031</v>
      </c>
    </row>
    <row r="223" spans="1:11" x14ac:dyDescent="0.25">
      <c r="A223" t="s">
        <v>222</v>
      </c>
      <c r="B223" s="1">
        <v>45546</v>
      </c>
      <c r="C223">
        <v>2024</v>
      </c>
      <c r="D223" t="s">
        <v>1223</v>
      </c>
      <c r="E223" t="s">
        <v>1207</v>
      </c>
      <c r="F223" t="s">
        <v>1018</v>
      </c>
      <c r="G223" t="s">
        <v>1013</v>
      </c>
      <c r="H223" s="2">
        <v>3000</v>
      </c>
      <c r="I223" t="s">
        <v>1206</v>
      </c>
      <c r="J223" t="s">
        <v>1030</v>
      </c>
      <c r="K223" t="s">
        <v>1031</v>
      </c>
    </row>
    <row r="224" spans="1:11" x14ac:dyDescent="0.25">
      <c r="A224" t="s">
        <v>223</v>
      </c>
      <c r="B224" s="1">
        <v>45548</v>
      </c>
      <c r="C224">
        <v>2024</v>
      </c>
      <c r="D224" t="s">
        <v>1223</v>
      </c>
      <c r="E224" t="s">
        <v>1207</v>
      </c>
      <c r="F224" t="s">
        <v>1086</v>
      </c>
      <c r="G224" t="s">
        <v>1011</v>
      </c>
      <c r="H224" s="2">
        <v>27000</v>
      </c>
      <c r="I224" t="s">
        <v>1211</v>
      </c>
      <c r="J224" t="s">
        <v>1030</v>
      </c>
      <c r="K224" t="s">
        <v>1031</v>
      </c>
    </row>
    <row r="225" spans="1:11" x14ac:dyDescent="0.25">
      <c r="A225" t="s">
        <v>224</v>
      </c>
      <c r="B225" s="1">
        <v>45544</v>
      </c>
      <c r="C225">
        <v>2024</v>
      </c>
      <c r="D225" t="s">
        <v>1223</v>
      </c>
      <c r="E225" t="s">
        <v>1207</v>
      </c>
      <c r="F225" t="s">
        <v>1065</v>
      </c>
      <c r="G225" t="s">
        <v>1011</v>
      </c>
      <c r="H225" s="2">
        <v>30000</v>
      </c>
      <c r="I225" t="s">
        <v>1206</v>
      </c>
      <c r="J225" t="s">
        <v>1030</v>
      </c>
      <c r="K225" t="s">
        <v>1031</v>
      </c>
    </row>
    <row r="226" spans="1:11" x14ac:dyDescent="0.25">
      <c r="A226" t="s">
        <v>225</v>
      </c>
      <c r="B226" s="1">
        <v>45548</v>
      </c>
      <c r="C226">
        <v>2024</v>
      </c>
      <c r="D226" t="s">
        <v>1223</v>
      </c>
      <c r="E226" t="s">
        <v>1207</v>
      </c>
      <c r="F226" t="s">
        <v>1099</v>
      </c>
      <c r="G226" t="s">
        <v>1198</v>
      </c>
      <c r="H226" s="2">
        <v>25000</v>
      </c>
      <c r="I226" t="s">
        <v>1206</v>
      </c>
      <c r="J226" t="s">
        <v>1030</v>
      </c>
      <c r="K226" t="s">
        <v>1031</v>
      </c>
    </row>
    <row r="227" spans="1:11" x14ac:dyDescent="0.25">
      <c r="A227" t="s">
        <v>226</v>
      </c>
      <c r="B227" s="1">
        <v>45544</v>
      </c>
      <c r="C227">
        <v>2024</v>
      </c>
      <c r="D227" t="s">
        <v>1223</v>
      </c>
      <c r="E227" t="s">
        <v>1207</v>
      </c>
      <c r="F227" t="s">
        <v>1025</v>
      </c>
      <c r="G227" t="s">
        <v>1014</v>
      </c>
      <c r="H227" s="2">
        <v>5000</v>
      </c>
      <c r="I227" t="s">
        <v>1206</v>
      </c>
      <c r="J227" t="s">
        <v>1030</v>
      </c>
      <c r="K227" t="s">
        <v>1031</v>
      </c>
    </row>
    <row r="228" spans="1:11" x14ac:dyDescent="0.25">
      <c r="A228" t="s">
        <v>227</v>
      </c>
      <c r="B228" s="1">
        <v>45552</v>
      </c>
      <c r="C228">
        <v>2024</v>
      </c>
      <c r="D228" t="s">
        <v>1223</v>
      </c>
      <c r="E228" t="s">
        <v>1208</v>
      </c>
      <c r="F228" t="s">
        <v>1065</v>
      </c>
      <c r="G228" t="s">
        <v>1011</v>
      </c>
      <c r="H228" s="2">
        <v>30000</v>
      </c>
      <c r="I228" t="s">
        <v>1211</v>
      </c>
      <c r="J228" t="s">
        <v>1030</v>
      </c>
      <c r="K228" t="s">
        <v>1031</v>
      </c>
    </row>
    <row r="229" spans="1:11" x14ac:dyDescent="0.25">
      <c r="A229" t="s">
        <v>228</v>
      </c>
      <c r="B229" s="1">
        <v>45554</v>
      </c>
      <c r="C229">
        <v>2024</v>
      </c>
      <c r="D229" t="s">
        <v>1223</v>
      </c>
      <c r="E229" t="s">
        <v>1208</v>
      </c>
      <c r="F229" t="s">
        <v>1065</v>
      </c>
      <c r="G229" t="s">
        <v>1011</v>
      </c>
      <c r="H229" s="2">
        <v>30000</v>
      </c>
      <c r="I229" t="s">
        <v>1211</v>
      </c>
      <c r="J229" t="s">
        <v>1030</v>
      </c>
      <c r="K229" t="s">
        <v>1031</v>
      </c>
    </row>
    <row r="230" spans="1:11" x14ac:dyDescent="0.25">
      <c r="A230" t="s">
        <v>229</v>
      </c>
      <c r="B230" s="1">
        <v>45552</v>
      </c>
      <c r="C230">
        <v>2024</v>
      </c>
      <c r="D230" t="s">
        <v>1223</v>
      </c>
      <c r="E230" t="s">
        <v>1208</v>
      </c>
      <c r="F230" t="s">
        <v>1035</v>
      </c>
      <c r="G230" t="s">
        <v>1197</v>
      </c>
      <c r="H230" s="2">
        <v>11000</v>
      </c>
      <c r="I230" t="s">
        <v>1206</v>
      </c>
      <c r="J230" t="s">
        <v>1030</v>
      </c>
      <c r="K230" t="s">
        <v>1031</v>
      </c>
    </row>
    <row r="231" spans="1:11" x14ac:dyDescent="0.25">
      <c r="A231" t="s">
        <v>230</v>
      </c>
      <c r="B231" s="1">
        <v>45552</v>
      </c>
      <c r="C231">
        <v>2024</v>
      </c>
      <c r="D231" t="s">
        <v>1223</v>
      </c>
      <c r="E231" t="s">
        <v>1208</v>
      </c>
      <c r="F231" t="s">
        <v>1086</v>
      </c>
      <c r="G231" t="s">
        <v>1011</v>
      </c>
      <c r="H231" s="2">
        <v>27000</v>
      </c>
      <c r="I231" t="s">
        <v>1206</v>
      </c>
      <c r="J231" t="s">
        <v>1030</v>
      </c>
      <c r="K231" t="s">
        <v>1031</v>
      </c>
    </row>
    <row r="232" spans="1:11" x14ac:dyDescent="0.25">
      <c r="A232" t="s">
        <v>231</v>
      </c>
      <c r="B232" s="1">
        <v>45554</v>
      </c>
      <c r="C232">
        <v>2024</v>
      </c>
      <c r="D232" t="s">
        <v>1223</v>
      </c>
      <c r="E232" t="s">
        <v>1208</v>
      </c>
      <c r="F232" t="s">
        <v>1100</v>
      </c>
      <c r="G232" t="s">
        <v>1010</v>
      </c>
      <c r="H232" s="2">
        <v>20000</v>
      </c>
      <c r="I232" t="s">
        <v>1206</v>
      </c>
      <c r="J232" t="s">
        <v>1030</v>
      </c>
      <c r="K232" t="s">
        <v>1031</v>
      </c>
    </row>
    <row r="233" spans="1:11" x14ac:dyDescent="0.25">
      <c r="A233" t="s">
        <v>232</v>
      </c>
      <c r="B233" s="1">
        <v>45554</v>
      </c>
      <c r="C233">
        <v>2024</v>
      </c>
      <c r="D233" t="s">
        <v>1223</v>
      </c>
      <c r="E233" t="s">
        <v>1208</v>
      </c>
      <c r="F233" t="s">
        <v>1101</v>
      </c>
      <c r="G233" t="s">
        <v>1198</v>
      </c>
      <c r="H233" s="2">
        <v>65000</v>
      </c>
      <c r="I233" t="s">
        <v>1206</v>
      </c>
      <c r="J233" t="s">
        <v>1030</v>
      </c>
      <c r="K233" t="s">
        <v>1031</v>
      </c>
    </row>
    <row r="234" spans="1:11" x14ac:dyDescent="0.25">
      <c r="A234" t="s">
        <v>233</v>
      </c>
      <c r="B234" s="1">
        <v>45555</v>
      </c>
      <c r="C234">
        <v>2024</v>
      </c>
      <c r="D234" t="s">
        <v>1223</v>
      </c>
      <c r="E234" t="s">
        <v>1208</v>
      </c>
      <c r="F234" t="s">
        <v>1086</v>
      </c>
      <c r="G234" t="s">
        <v>1011</v>
      </c>
      <c r="H234" s="2">
        <v>22000</v>
      </c>
      <c r="I234" t="s">
        <v>1206</v>
      </c>
      <c r="J234" t="s">
        <v>1030</v>
      </c>
      <c r="K234" t="s">
        <v>1031</v>
      </c>
    </row>
    <row r="235" spans="1:11" x14ac:dyDescent="0.25">
      <c r="A235" t="s">
        <v>234</v>
      </c>
      <c r="B235" s="1">
        <v>45559</v>
      </c>
      <c r="C235">
        <v>2024</v>
      </c>
      <c r="D235" t="s">
        <v>1223</v>
      </c>
      <c r="E235" t="s">
        <v>1210</v>
      </c>
      <c r="F235" t="s">
        <v>1045</v>
      </c>
      <c r="G235" t="s">
        <v>1197</v>
      </c>
      <c r="H235" s="2">
        <v>64000</v>
      </c>
      <c r="I235" t="s">
        <v>1206</v>
      </c>
      <c r="J235" t="s">
        <v>1030</v>
      </c>
      <c r="K235" t="s">
        <v>1031</v>
      </c>
    </row>
    <row r="236" spans="1:11" x14ac:dyDescent="0.25">
      <c r="A236" t="s">
        <v>235</v>
      </c>
      <c r="B236" s="1">
        <v>45558</v>
      </c>
      <c r="C236">
        <v>2024</v>
      </c>
      <c r="D236" t="s">
        <v>1223</v>
      </c>
      <c r="E236" t="s">
        <v>1210</v>
      </c>
      <c r="F236" t="s">
        <v>1065</v>
      </c>
      <c r="G236" t="s">
        <v>1011</v>
      </c>
      <c r="H236" s="2">
        <v>35000</v>
      </c>
      <c r="I236" t="s">
        <v>1206</v>
      </c>
      <c r="J236" t="s">
        <v>1030</v>
      </c>
      <c r="K236" t="s">
        <v>1031</v>
      </c>
    </row>
    <row r="237" spans="1:11" x14ac:dyDescent="0.25">
      <c r="A237" t="s">
        <v>236</v>
      </c>
      <c r="B237" s="1">
        <v>45559</v>
      </c>
      <c r="C237">
        <v>2024</v>
      </c>
      <c r="D237" t="s">
        <v>1223</v>
      </c>
      <c r="E237" t="s">
        <v>1210</v>
      </c>
      <c r="F237" t="s">
        <v>1086</v>
      </c>
      <c r="G237" t="s">
        <v>1011</v>
      </c>
      <c r="H237" s="2">
        <v>25000</v>
      </c>
      <c r="I237" t="s">
        <v>1206</v>
      </c>
      <c r="J237" t="s">
        <v>1030</v>
      </c>
      <c r="K237" t="s">
        <v>1031</v>
      </c>
    </row>
    <row r="238" spans="1:11" x14ac:dyDescent="0.25">
      <c r="A238" t="s">
        <v>237</v>
      </c>
      <c r="B238" s="1">
        <v>45559</v>
      </c>
      <c r="C238">
        <v>2024</v>
      </c>
      <c r="D238" t="s">
        <v>1223</v>
      </c>
      <c r="E238" t="s">
        <v>1210</v>
      </c>
      <c r="F238" t="s">
        <v>1046</v>
      </c>
      <c r="G238" t="s">
        <v>1014</v>
      </c>
      <c r="H238" s="2">
        <v>3900</v>
      </c>
      <c r="I238" t="s">
        <v>1211</v>
      </c>
      <c r="J238" t="s">
        <v>1030</v>
      </c>
      <c r="K238" t="s">
        <v>1031</v>
      </c>
    </row>
    <row r="239" spans="1:11" x14ac:dyDescent="0.25">
      <c r="A239" t="s">
        <v>238</v>
      </c>
      <c r="B239" s="1">
        <v>45560</v>
      </c>
      <c r="C239">
        <v>2024</v>
      </c>
      <c r="D239" t="s">
        <v>1223</v>
      </c>
      <c r="E239" t="s">
        <v>1210</v>
      </c>
      <c r="F239" t="s">
        <v>1071</v>
      </c>
      <c r="G239" t="s">
        <v>1012</v>
      </c>
      <c r="H239" s="2">
        <v>37700</v>
      </c>
      <c r="I239" t="s">
        <v>1211</v>
      </c>
      <c r="J239" t="s">
        <v>1030</v>
      </c>
      <c r="K239" t="s">
        <v>1031</v>
      </c>
    </row>
    <row r="240" spans="1:11" x14ac:dyDescent="0.25">
      <c r="A240" t="s">
        <v>239</v>
      </c>
      <c r="B240" s="1">
        <v>45561</v>
      </c>
      <c r="C240">
        <v>2024</v>
      </c>
      <c r="D240" t="s">
        <v>1223</v>
      </c>
      <c r="E240" t="s">
        <v>1210</v>
      </c>
      <c r="F240" t="s">
        <v>1065</v>
      </c>
      <c r="G240" t="s">
        <v>1011</v>
      </c>
      <c r="H240" s="2">
        <v>27000</v>
      </c>
      <c r="I240" t="s">
        <v>1206</v>
      </c>
      <c r="J240" t="s">
        <v>1030</v>
      </c>
      <c r="K240" t="s">
        <v>1031</v>
      </c>
    </row>
    <row r="241" spans="1:11" x14ac:dyDescent="0.25">
      <c r="A241" t="s">
        <v>240</v>
      </c>
      <c r="B241" s="1">
        <v>45561</v>
      </c>
      <c r="C241">
        <v>2024</v>
      </c>
      <c r="D241" t="s">
        <v>1223</v>
      </c>
      <c r="E241" t="s">
        <v>1210</v>
      </c>
      <c r="F241" t="s">
        <v>1025</v>
      </c>
      <c r="G241" t="s">
        <v>1014</v>
      </c>
      <c r="H241" s="2">
        <v>5000</v>
      </c>
      <c r="I241" t="s">
        <v>1206</v>
      </c>
      <c r="J241" t="s">
        <v>1030</v>
      </c>
      <c r="K241" t="s">
        <v>1031</v>
      </c>
    </row>
    <row r="242" spans="1:11" x14ac:dyDescent="0.25">
      <c r="A242" t="s">
        <v>241</v>
      </c>
      <c r="B242" s="1">
        <v>45561</v>
      </c>
      <c r="C242">
        <v>2024</v>
      </c>
      <c r="D242" t="s">
        <v>1223</v>
      </c>
      <c r="E242" t="s">
        <v>1210</v>
      </c>
      <c r="F242" t="s">
        <v>1018</v>
      </c>
      <c r="G242" t="s">
        <v>1013</v>
      </c>
      <c r="H242" s="2">
        <v>5000</v>
      </c>
      <c r="I242" t="s">
        <v>1206</v>
      </c>
      <c r="J242" t="s">
        <v>1030</v>
      </c>
      <c r="K242" t="s">
        <v>1031</v>
      </c>
    </row>
    <row r="243" spans="1:11" x14ac:dyDescent="0.25">
      <c r="A243" t="s">
        <v>242</v>
      </c>
      <c r="B243" s="1">
        <v>45562</v>
      </c>
      <c r="C243">
        <v>2024</v>
      </c>
      <c r="D243" t="s">
        <v>1223</v>
      </c>
      <c r="E243" t="s">
        <v>1210</v>
      </c>
      <c r="F243" t="s">
        <v>1023</v>
      </c>
      <c r="G243" t="s">
        <v>1201</v>
      </c>
      <c r="H243" s="2">
        <v>7000</v>
      </c>
      <c r="I243" t="s">
        <v>1212</v>
      </c>
      <c r="J243" t="s">
        <v>1030</v>
      </c>
      <c r="K243" t="s">
        <v>1031</v>
      </c>
    </row>
    <row r="244" spans="1:11" x14ac:dyDescent="0.25">
      <c r="A244" t="s">
        <v>243</v>
      </c>
      <c r="B244" s="1">
        <v>45565</v>
      </c>
      <c r="C244">
        <v>2024</v>
      </c>
      <c r="D244" t="s">
        <v>1223</v>
      </c>
      <c r="E244" t="s">
        <v>1213</v>
      </c>
      <c r="F244" t="s">
        <v>1018</v>
      </c>
      <c r="G244" t="s">
        <v>1013</v>
      </c>
      <c r="H244" s="2">
        <v>8000</v>
      </c>
      <c r="I244" t="s">
        <v>1206</v>
      </c>
      <c r="J244" t="s">
        <v>1030</v>
      </c>
      <c r="K244" t="s">
        <v>1031</v>
      </c>
    </row>
    <row r="245" spans="1:11" x14ac:dyDescent="0.25">
      <c r="A245" t="s">
        <v>244</v>
      </c>
      <c r="B245" s="1">
        <v>45565</v>
      </c>
      <c r="C245">
        <v>2024</v>
      </c>
      <c r="D245" t="s">
        <v>1223</v>
      </c>
      <c r="E245" t="s">
        <v>1213</v>
      </c>
      <c r="F245" t="s">
        <v>1065</v>
      </c>
      <c r="G245" t="s">
        <v>1011</v>
      </c>
      <c r="H245" s="2">
        <v>35000</v>
      </c>
      <c r="I245" t="s">
        <v>1206</v>
      </c>
      <c r="J245" t="s">
        <v>1030</v>
      </c>
      <c r="K245" t="s">
        <v>1031</v>
      </c>
    </row>
    <row r="246" spans="1:11" x14ac:dyDescent="0.25">
      <c r="A246" t="s">
        <v>245</v>
      </c>
      <c r="B246" s="1">
        <v>45567</v>
      </c>
      <c r="C246">
        <v>2024</v>
      </c>
      <c r="D246" t="s">
        <v>1224</v>
      </c>
      <c r="E246" t="s">
        <v>1205</v>
      </c>
      <c r="F246" t="s">
        <v>1086</v>
      </c>
      <c r="G246" t="s">
        <v>1011</v>
      </c>
      <c r="H246" s="2">
        <v>25000</v>
      </c>
      <c r="I246" t="s">
        <v>1206</v>
      </c>
      <c r="J246" t="s">
        <v>1030</v>
      </c>
      <c r="K246" t="s">
        <v>1031</v>
      </c>
    </row>
    <row r="247" spans="1:11" x14ac:dyDescent="0.25">
      <c r="A247" t="s">
        <v>246</v>
      </c>
      <c r="B247" s="1">
        <v>45565</v>
      </c>
      <c r="C247">
        <v>2024</v>
      </c>
      <c r="D247" t="s">
        <v>1223</v>
      </c>
      <c r="E247" t="s">
        <v>1213</v>
      </c>
      <c r="F247" t="s">
        <v>1093</v>
      </c>
      <c r="G247" t="s">
        <v>1011</v>
      </c>
      <c r="H247" s="2">
        <v>24000</v>
      </c>
      <c r="I247" t="s">
        <v>1206</v>
      </c>
      <c r="J247" t="s">
        <v>1030</v>
      </c>
      <c r="K247" t="s">
        <v>1031</v>
      </c>
    </row>
    <row r="248" spans="1:11" x14ac:dyDescent="0.25">
      <c r="A248" t="s">
        <v>247</v>
      </c>
      <c r="B248" s="1">
        <v>45568</v>
      </c>
      <c r="C248">
        <v>2024</v>
      </c>
      <c r="D248" t="s">
        <v>1224</v>
      </c>
      <c r="E248" t="s">
        <v>1205</v>
      </c>
      <c r="F248" t="s">
        <v>1065</v>
      </c>
      <c r="G248" t="s">
        <v>1011</v>
      </c>
      <c r="H248" s="2">
        <v>20000</v>
      </c>
      <c r="I248" t="s">
        <v>1211</v>
      </c>
      <c r="J248" t="s">
        <v>1030</v>
      </c>
      <c r="K248" t="s">
        <v>1031</v>
      </c>
    </row>
    <row r="249" spans="1:11" x14ac:dyDescent="0.25">
      <c r="A249" t="s">
        <v>248</v>
      </c>
      <c r="B249" s="1">
        <v>45568</v>
      </c>
      <c r="C249">
        <v>2024</v>
      </c>
      <c r="D249" t="s">
        <v>1224</v>
      </c>
      <c r="E249" t="s">
        <v>1205</v>
      </c>
      <c r="F249" t="s">
        <v>1049</v>
      </c>
      <c r="G249" t="s">
        <v>1199</v>
      </c>
      <c r="H249" s="2">
        <v>20000</v>
      </c>
      <c r="I249" t="s">
        <v>1206</v>
      </c>
      <c r="J249" t="s">
        <v>1030</v>
      </c>
      <c r="K249" t="s">
        <v>1031</v>
      </c>
    </row>
    <row r="250" spans="1:11" x14ac:dyDescent="0.25">
      <c r="A250" t="s">
        <v>249</v>
      </c>
      <c r="B250" s="1">
        <v>45568</v>
      </c>
      <c r="C250">
        <v>2024</v>
      </c>
      <c r="D250" t="s">
        <v>1224</v>
      </c>
      <c r="E250" t="s">
        <v>1205</v>
      </c>
      <c r="F250" t="s">
        <v>1033</v>
      </c>
      <c r="G250" t="s">
        <v>1014</v>
      </c>
      <c r="H250" s="2">
        <v>86630</v>
      </c>
      <c r="I250" t="s">
        <v>1211</v>
      </c>
      <c r="J250" t="s">
        <v>1030</v>
      </c>
      <c r="K250" t="s">
        <v>1031</v>
      </c>
    </row>
    <row r="251" spans="1:11" x14ac:dyDescent="0.25">
      <c r="A251" t="s">
        <v>250</v>
      </c>
      <c r="B251" s="1">
        <v>45569</v>
      </c>
      <c r="C251">
        <v>2024</v>
      </c>
      <c r="D251" t="s">
        <v>1224</v>
      </c>
      <c r="E251" t="s">
        <v>1205</v>
      </c>
      <c r="F251" t="s">
        <v>1102</v>
      </c>
      <c r="G251" t="s">
        <v>1011</v>
      </c>
      <c r="H251" s="2">
        <v>22000</v>
      </c>
      <c r="I251" t="s">
        <v>1206</v>
      </c>
      <c r="J251" t="s">
        <v>1030</v>
      </c>
      <c r="K251" t="s">
        <v>1031</v>
      </c>
    </row>
    <row r="252" spans="1:11" x14ac:dyDescent="0.25">
      <c r="A252" t="s">
        <v>251</v>
      </c>
      <c r="B252" s="1">
        <v>45571</v>
      </c>
      <c r="C252">
        <v>2024</v>
      </c>
      <c r="D252" t="s">
        <v>1224</v>
      </c>
      <c r="E252" t="s">
        <v>1205</v>
      </c>
      <c r="F252" t="s">
        <v>1018</v>
      </c>
      <c r="G252" t="s">
        <v>1013</v>
      </c>
      <c r="H252" s="2">
        <v>3000</v>
      </c>
      <c r="I252" t="s">
        <v>1206</v>
      </c>
      <c r="J252" t="s">
        <v>1030</v>
      </c>
      <c r="K252" t="s">
        <v>1031</v>
      </c>
    </row>
    <row r="253" spans="1:11" x14ac:dyDescent="0.25">
      <c r="A253" t="s">
        <v>252</v>
      </c>
      <c r="B253" s="1">
        <v>45565</v>
      </c>
      <c r="C253">
        <v>2024</v>
      </c>
      <c r="D253" t="s">
        <v>1223</v>
      </c>
      <c r="E253" t="s">
        <v>1213</v>
      </c>
      <c r="F253" t="s">
        <v>1035</v>
      </c>
      <c r="G253" t="s">
        <v>1197</v>
      </c>
      <c r="H253" s="2">
        <v>11000</v>
      </c>
      <c r="I253" t="s">
        <v>1206</v>
      </c>
      <c r="J253" t="s">
        <v>1030</v>
      </c>
      <c r="K253" t="s">
        <v>1031</v>
      </c>
    </row>
    <row r="254" spans="1:11" x14ac:dyDescent="0.25">
      <c r="A254" t="s">
        <v>253</v>
      </c>
      <c r="B254" s="1">
        <v>45571</v>
      </c>
      <c r="C254">
        <v>2024</v>
      </c>
      <c r="D254" t="s">
        <v>1224</v>
      </c>
      <c r="E254" t="s">
        <v>1205</v>
      </c>
      <c r="F254" t="s">
        <v>1035</v>
      </c>
      <c r="G254" t="s">
        <v>1197</v>
      </c>
      <c r="H254" s="2">
        <v>11000</v>
      </c>
      <c r="I254" t="s">
        <v>1206</v>
      </c>
      <c r="J254" t="s">
        <v>1030</v>
      </c>
      <c r="K254" t="s">
        <v>1031</v>
      </c>
    </row>
    <row r="255" spans="1:11" x14ac:dyDescent="0.25">
      <c r="A255" t="s">
        <v>254</v>
      </c>
      <c r="B255" s="1">
        <v>45572</v>
      </c>
      <c r="C255">
        <v>2024</v>
      </c>
      <c r="D255" t="s">
        <v>1224</v>
      </c>
      <c r="E255" t="s">
        <v>1205</v>
      </c>
      <c r="F255" t="s">
        <v>1037</v>
      </c>
      <c r="G255" t="s">
        <v>1199</v>
      </c>
      <c r="H255" s="2">
        <v>20000</v>
      </c>
      <c r="I255" t="s">
        <v>1206</v>
      </c>
      <c r="J255" t="s">
        <v>1030</v>
      </c>
      <c r="K255" t="s">
        <v>1031</v>
      </c>
    </row>
    <row r="256" spans="1:11" x14ac:dyDescent="0.25">
      <c r="A256" t="s">
        <v>255</v>
      </c>
      <c r="B256" s="1">
        <v>45576</v>
      </c>
      <c r="C256">
        <v>2024</v>
      </c>
      <c r="D256" t="s">
        <v>1224</v>
      </c>
      <c r="E256" t="s">
        <v>1207</v>
      </c>
      <c r="F256" t="s">
        <v>1225</v>
      </c>
      <c r="G256" t="s">
        <v>1015</v>
      </c>
      <c r="H256" s="2">
        <v>7000</v>
      </c>
      <c r="I256" t="s">
        <v>1206</v>
      </c>
      <c r="J256" t="s">
        <v>1030</v>
      </c>
      <c r="K256" t="s">
        <v>1031</v>
      </c>
    </row>
    <row r="257" spans="1:11" x14ac:dyDescent="0.25">
      <c r="A257" t="s">
        <v>256</v>
      </c>
      <c r="B257" s="1">
        <v>45573</v>
      </c>
      <c r="C257">
        <v>2024</v>
      </c>
      <c r="D257" t="s">
        <v>1224</v>
      </c>
      <c r="E257" t="s">
        <v>1207</v>
      </c>
      <c r="F257" t="s">
        <v>1226</v>
      </c>
      <c r="G257" t="s">
        <v>1010</v>
      </c>
      <c r="H257" s="2">
        <v>7000</v>
      </c>
      <c r="I257" t="s">
        <v>1206</v>
      </c>
      <c r="J257" t="s">
        <v>1030</v>
      </c>
      <c r="K257" t="s">
        <v>1031</v>
      </c>
    </row>
    <row r="258" spans="1:11" x14ac:dyDescent="0.25">
      <c r="A258" t="s">
        <v>257</v>
      </c>
      <c r="B258" s="1">
        <v>45574</v>
      </c>
      <c r="C258">
        <v>2024</v>
      </c>
      <c r="D258" t="s">
        <v>1224</v>
      </c>
      <c r="E258" t="s">
        <v>1207</v>
      </c>
      <c r="F258" t="s">
        <v>1040</v>
      </c>
      <c r="G258" t="s">
        <v>1199</v>
      </c>
      <c r="H258" s="2">
        <v>20000</v>
      </c>
      <c r="I258" t="s">
        <v>1206</v>
      </c>
      <c r="J258" t="s">
        <v>1030</v>
      </c>
      <c r="K258" t="s">
        <v>1031</v>
      </c>
    </row>
    <row r="259" spans="1:11" x14ac:dyDescent="0.25">
      <c r="A259" t="s">
        <v>258</v>
      </c>
      <c r="B259" s="1">
        <v>45579</v>
      </c>
      <c r="C259">
        <v>2024</v>
      </c>
      <c r="D259" t="s">
        <v>1224</v>
      </c>
      <c r="E259" t="s">
        <v>1207</v>
      </c>
      <c r="F259" t="s">
        <v>1018</v>
      </c>
      <c r="G259" t="s">
        <v>1013</v>
      </c>
      <c r="H259" s="2">
        <v>2000</v>
      </c>
      <c r="I259" t="s">
        <v>1206</v>
      </c>
      <c r="J259" t="s">
        <v>1030</v>
      </c>
      <c r="K259" t="s">
        <v>1031</v>
      </c>
    </row>
    <row r="260" spans="1:11" x14ac:dyDescent="0.25">
      <c r="A260" t="s">
        <v>259</v>
      </c>
      <c r="B260" s="1">
        <v>45579</v>
      </c>
      <c r="C260">
        <v>2024</v>
      </c>
      <c r="D260" t="s">
        <v>1224</v>
      </c>
      <c r="E260" t="s">
        <v>1207</v>
      </c>
      <c r="F260" t="s">
        <v>1065</v>
      </c>
      <c r="G260" t="s">
        <v>1011</v>
      </c>
      <c r="H260" s="2">
        <v>25000</v>
      </c>
      <c r="I260" t="s">
        <v>1206</v>
      </c>
      <c r="J260" t="s">
        <v>1030</v>
      </c>
      <c r="K260" t="s">
        <v>1031</v>
      </c>
    </row>
    <row r="261" spans="1:11" x14ac:dyDescent="0.25">
      <c r="A261" t="s">
        <v>260</v>
      </c>
      <c r="B261" s="1">
        <v>45579</v>
      </c>
      <c r="C261">
        <v>2024</v>
      </c>
      <c r="D261" t="s">
        <v>1224</v>
      </c>
      <c r="E261" t="s">
        <v>1207</v>
      </c>
      <c r="F261" t="s">
        <v>1035</v>
      </c>
      <c r="G261" t="s">
        <v>1197</v>
      </c>
      <c r="H261" s="2">
        <v>11000</v>
      </c>
      <c r="I261" t="s">
        <v>1206</v>
      </c>
      <c r="J261" t="s">
        <v>1030</v>
      </c>
      <c r="K261" t="s">
        <v>1031</v>
      </c>
    </row>
    <row r="262" spans="1:11" x14ac:dyDescent="0.25">
      <c r="A262" t="s">
        <v>261</v>
      </c>
      <c r="B262" s="1">
        <v>45580</v>
      </c>
      <c r="C262">
        <v>2024</v>
      </c>
      <c r="D262" t="s">
        <v>1224</v>
      </c>
      <c r="E262" t="s">
        <v>1208</v>
      </c>
      <c r="F262" t="s">
        <v>1021</v>
      </c>
      <c r="G262" t="s">
        <v>1010</v>
      </c>
      <c r="H262" s="2">
        <v>3000</v>
      </c>
      <c r="I262" t="s">
        <v>1212</v>
      </c>
      <c r="J262" t="s">
        <v>1030</v>
      </c>
      <c r="K262" t="s">
        <v>1031</v>
      </c>
    </row>
    <row r="263" spans="1:11" x14ac:dyDescent="0.25">
      <c r="A263" t="s">
        <v>262</v>
      </c>
      <c r="B263" s="1">
        <v>45582</v>
      </c>
      <c r="C263">
        <v>2024</v>
      </c>
      <c r="D263" t="s">
        <v>1224</v>
      </c>
      <c r="E263" t="s">
        <v>1208</v>
      </c>
      <c r="F263" t="s">
        <v>1093</v>
      </c>
      <c r="G263" t="s">
        <v>1011</v>
      </c>
      <c r="H263" s="2">
        <v>24000</v>
      </c>
      <c r="I263" t="s">
        <v>1211</v>
      </c>
      <c r="J263" t="s">
        <v>1030</v>
      </c>
      <c r="K263" t="s">
        <v>1031</v>
      </c>
    </row>
    <row r="264" spans="1:11" x14ac:dyDescent="0.25">
      <c r="A264" t="s">
        <v>263</v>
      </c>
      <c r="B264" s="1">
        <v>45582</v>
      </c>
      <c r="C264">
        <v>2024</v>
      </c>
      <c r="D264" t="s">
        <v>1224</v>
      </c>
      <c r="E264" t="s">
        <v>1208</v>
      </c>
      <c r="F264" t="s">
        <v>1065</v>
      </c>
      <c r="G264" t="s">
        <v>1011</v>
      </c>
      <c r="H264" s="2">
        <v>35000</v>
      </c>
      <c r="I264" t="s">
        <v>1206</v>
      </c>
      <c r="J264" t="s">
        <v>1030</v>
      </c>
      <c r="K264" t="s">
        <v>1031</v>
      </c>
    </row>
    <row r="265" spans="1:11" x14ac:dyDescent="0.25">
      <c r="A265" t="s">
        <v>264</v>
      </c>
      <c r="B265" s="1">
        <v>45583</v>
      </c>
      <c r="C265">
        <v>2024</v>
      </c>
      <c r="D265" t="s">
        <v>1224</v>
      </c>
      <c r="E265" t="s">
        <v>1208</v>
      </c>
      <c r="F265" t="s">
        <v>1105</v>
      </c>
      <c r="G265" t="s">
        <v>1010</v>
      </c>
      <c r="H265" s="2">
        <v>6000</v>
      </c>
      <c r="I265" t="s">
        <v>1206</v>
      </c>
      <c r="J265" t="s">
        <v>1030</v>
      </c>
      <c r="K265" t="s">
        <v>1031</v>
      </c>
    </row>
    <row r="266" spans="1:11" x14ac:dyDescent="0.25">
      <c r="A266" t="s">
        <v>265</v>
      </c>
      <c r="B266" s="1">
        <v>45579</v>
      </c>
      <c r="C266">
        <v>2024</v>
      </c>
      <c r="D266" t="s">
        <v>1224</v>
      </c>
      <c r="E266" t="s">
        <v>1207</v>
      </c>
      <c r="F266" t="s">
        <v>1025</v>
      </c>
      <c r="G266" t="s">
        <v>1014</v>
      </c>
      <c r="H266" s="2">
        <v>5000</v>
      </c>
      <c r="I266" t="s">
        <v>1206</v>
      </c>
      <c r="J266" t="s">
        <v>1030</v>
      </c>
      <c r="K266" t="s">
        <v>1031</v>
      </c>
    </row>
    <row r="267" spans="1:11" x14ac:dyDescent="0.25">
      <c r="A267" t="s">
        <v>266</v>
      </c>
      <c r="B267" s="1">
        <v>45586</v>
      </c>
      <c r="C267">
        <v>2024</v>
      </c>
      <c r="D267" t="s">
        <v>1224</v>
      </c>
      <c r="E267" t="s">
        <v>1208</v>
      </c>
      <c r="F267" t="s">
        <v>1093</v>
      </c>
      <c r="G267" t="s">
        <v>1011</v>
      </c>
      <c r="H267" s="2">
        <v>25000</v>
      </c>
      <c r="I267" t="s">
        <v>1206</v>
      </c>
      <c r="J267" t="s">
        <v>1030</v>
      </c>
      <c r="K267" t="s">
        <v>1031</v>
      </c>
    </row>
    <row r="268" spans="1:11" x14ac:dyDescent="0.25">
      <c r="A268" t="s">
        <v>267</v>
      </c>
      <c r="B268" s="1">
        <v>45586</v>
      </c>
      <c r="C268">
        <v>2024</v>
      </c>
      <c r="D268" t="s">
        <v>1224</v>
      </c>
      <c r="E268" t="s">
        <v>1208</v>
      </c>
      <c r="F268" t="s">
        <v>1035</v>
      </c>
      <c r="G268" t="s">
        <v>1197</v>
      </c>
      <c r="H268" s="2">
        <v>11000</v>
      </c>
      <c r="I268" t="s">
        <v>1206</v>
      </c>
      <c r="J268" t="s">
        <v>1030</v>
      </c>
      <c r="K268" t="s">
        <v>1031</v>
      </c>
    </row>
    <row r="269" spans="1:11" x14ac:dyDescent="0.25">
      <c r="A269" t="s">
        <v>268</v>
      </c>
      <c r="B269" s="1">
        <v>45586</v>
      </c>
      <c r="C269">
        <v>2024</v>
      </c>
      <c r="D269" t="s">
        <v>1224</v>
      </c>
      <c r="E269" t="s">
        <v>1208</v>
      </c>
      <c r="F269" t="s">
        <v>1065</v>
      </c>
      <c r="G269" t="s">
        <v>1011</v>
      </c>
      <c r="H269" s="2">
        <v>35000</v>
      </c>
      <c r="I269" t="s">
        <v>1206</v>
      </c>
      <c r="J269" t="s">
        <v>1030</v>
      </c>
      <c r="K269" t="s">
        <v>1031</v>
      </c>
    </row>
    <row r="270" spans="1:11" x14ac:dyDescent="0.25">
      <c r="A270" t="s">
        <v>269</v>
      </c>
      <c r="B270" s="1">
        <v>45588</v>
      </c>
      <c r="C270">
        <v>2024</v>
      </c>
      <c r="D270" t="s">
        <v>1224</v>
      </c>
      <c r="E270" t="s">
        <v>1210</v>
      </c>
      <c r="F270" t="s">
        <v>1106</v>
      </c>
      <c r="G270" t="s">
        <v>1010</v>
      </c>
      <c r="H270" s="2">
        <v>7000</v>
      </c>
      <c r="I270" t="s">
        <v>1206</v>
      </c>
      <c r="J270" t="s">
        <v>1030</v>
      </c>
      <c r="K270" t="s">
        <v>1031</v>
      </c>
    </row>
    <row r="271" spans="1:11" x14ac:dyDescent="0.25">
      <c r="A271" t="s">
        <v>270</v>
      </c>
      <c r="B271" s="1">
        <v>45589</v>
      </c>
      <c r="C271">
        <v>2024</v>
      </c>
      <c r="D271" t="s">
        <v>1224</v>
      </c>
      <c r="E271" t="s">
        <v>1210</v>
      </c>
      <c r="F271" t="s">
        <v>1065</v>
      </c>
      <c r="G271" t="s">
        <v>1011</v>
      </c>
      <c r="H271" s="2">
        <v>25000</v>
      </c>
      <c r="I271" t="s">
        <v>1206</v>
      </c>
      <c r="J271" t="s">
        <v>1030</v>
      </c>
      <c r="K271" t="s">
        <v>1031</v>
      </c>
    </row>
    <row r="272" spans="1:11" x14ac:dyDescent="0.25">
      <c r="A272" t="s">
        <v>271</v>
      </c>
      <c r="B272" s="1">
        <v>45593</v>
      </c>
      <c r="C272">
        <v>2024</v>
      </c>
      <c r="D272" t="s">
        <v>1224</v>
      </c>
      <c r="E272" t="s">
        <v>1210</v>
      </c>
      <c r="F272" t="s">
        <v>1065</v>
      </c>
      <c r="G272" t="s">
        <v>1011</v>
      </c>
      <c r="H272" s="2">
        <v>35000</v>
      </c>
      <c r="I272" t="s">
        <v>1211</v>
      </c>
      <c r="J272" t="s">
        <v>1030</v>
      </c>
      <c r="K272" t="s">
        <v>1031</v>
      </c>
    </row>
    <row r="273" spans="1:11" x14ac:dyDescent="0.25">
      <c r="A273" t="s">
        <v>272</v>
      </c>
      <c r="B273" s="1">
        <v>45593</v>
      </c>
      <c r="C273">
        <v>2024</v>
      </c>
      <c r="D273" t="s">
        <v>1224</v>
      </c>
      <c r="E273" t="s">
        <v>1210</v>
      </c>
      <c r="F273" t="s">
        <v>1025</v>
      </c>
      <c r="G273" t="s">
        <v>1014</v>
      </c>
      <c r="H273" s="2">
        <v>5000</v>
      </c>
      <c r="I273" t="s">
        <v>1206</v>
      </c>
      <c r="J273" t="s">
        <v>1030</v>
      </c>
      <c r="K273" t="s">
        <v>1031</v>
      </c>
    </row>
    <row r="274" spans="1:11" x14ac:dyDescent="0.25">
      <c r="A274" t="s">
        <v>273</v>
      </c>
      <c r="B274" s="1">
        <v>45594</v>
      </c>
      <c r="C274">
        <v>2024</v>
      </c>
      <c r="D274" t="s">
        <v>1224</v>
      </c>
      <c r="E274" t="s">
        <v>1213</v>
      </c>
      <c r="F274" t="s">
        <v>1093</v>
      </c>
      <c r="G274" t="s">
        <v>1011</v>
      </c>
      <c r="H274" s="2">
        <v>25000</v>
      </c>
      <c r="I274" t="s">
        <v>1206</v>
      </c>
      <c r="J274" t="s">
        <v>1030</v>
      </c>
      <c r="K274" t="s">
        <v>1031</v>
      </c>
    </row>
    <row r="275" spans="1:11" x14ac:dyDescent="0.25">
      <c r="A275" t="s">
        <v>274</v>
      </c>
      <c r="B275" s="1">
        <v>45594</v>
      </c>
      <c r="C275">
        <v>2024</v>
      </c>
      <c r="D275" t="s">
        <v>1224</v>
      </c>
      <c r="E275" t="s">
        <v>1213</v>
      </c>
      <c r="F275" t="s">
        <v>1035</v>
      </c>
      <c r="G275" t="s">
        <v>1197</v>
      </c>
      <c r="H275" s="2">
        <v>11000</v>
      </c>
      <c r="I275" t="s">
        <v>1206</v>
      </c>
      <c r="J275" t="s">
        <v>1030</v>
      </c>
      <c r="K275" t="s">
        <v>1031</v>
      </c>
    </row>
    <row r="276" spans="1:11" x14ac:dyDescent="0.25">
      <c r="A276" t="s">
        <v>275</v>
      </c>
      <c r="B276" s="1">
        <v>45595</v>
      </c>
      <c r="C276">
        <v>2024</v>
      </c>
      <c r="D276" t="s">
        <v>1224</v>
      </c>
      <c r="E276" t="s">
        <v>1213</v>
      </c>
      <c r="F276" t="s">
        <v>1018</v>
      </c>
      <c r="G276" t="s">
        <v>1013</v>
      </c>
      <c r="H276" s="2">
        <v>2000</v>
      </c>
      <c r="I276" t="s">
        <v>1206</v>
      </c>
      <c r="J276" t="s">
        <v>1030</v>
      </c>
      <c r="K276" t="s">
        <v>1031</v>
      </c>
    </row>
    <row r="277" spans="1:11" x14ac:dyDescent="0.25">
      <c r="A277" t="s">
        <v>276</v>
      </c>
      <c r="B277" s="1">
        <v>45595</v>
      </c>
      <c r="C277">
        <v>2024</v>
      </c>
      <c r="D277" t="s">
        <v>1224</v>
      </c>
      <c r="E277" t="s">
        <v>1213</v>
      </c>
      <c r="F277" t="s">
        <v>1023</v>
      </c>
      <c r="G277" t="s">
        <v>1201</v>
      </c>
      <c r="H277" s="2">
        <v>7000</v>
      </c>
      <c r="I277" t="s">
        <v>1206</v>
      </c>
      <c r="J277" t="s">
        <v>1030</v>
      </c>
      <c r="K277" t="s">
        <v>1031</v>
      </c>
    </row>
    <row r="278" spans="1:11" x14ac:dyDescent="0.25">
      <c r="A278" t="s">
        <v>277</v>
      </c>
      <c r="B278" s="1">
        <v>45596</v>
      </c>
      <c r="C278">
        <v>2024</v>
      </c>
      <c r="D278" t="s">
        <v>1224</v>
      </c>
      <c r="E278" t="s">
        <v>1213</v>
      </c>
      <c r="F278" t="s">
        <v>1102</v>
      </c>
      <c r="G278" t="s">
        <v>1011</v>
      </c>
      <c r="H278" s="2">
        <v>28000</v>
      </c>
      <c r="I278" t="s">
        <v>1206</v>
      </c>
      <c r="J278" t="s">
        <v>1030</v>
      </c>
      <c r="K278" t="s">
        <v>1031</v>
      </c>
    </row>
    <row r="279" spans="1:11" x14ac:dyDescent="0.25">
      <c r="A279" t="s">
        <v>278</v>
      </c>
      <c r="B279" s="1">
        <v>45596</v>
      </c>
      <c r="C279">
        <v>2024</v>
      </c>
      <c r="D279" t="s">
        <v>1224</v>
      </c>
      <c r="E279" t="s">
        <v>1213</v>
      </c>
      <c r="F279" t="s">
        <v>1065</v>
      </c>
      <c r="G279" t="s">
        <v>1011</v>
      </c>
      <c r="H279" s="2">
        <v>25000</v>
      </c>
      <c r="I279" t="s">
        <v>1206</v>
      </c>
      <c r="J279" t="s">
        <v>1030</v>
      </c>
      <c r="K279" t="s">
        <v>1031</v>
      </c>
    </row>
    <row r="280" spans="1:11" x14ac:dyDescent="0.25">
      <c r="A280" t="s">
        <v>279</v>
      </c>
      <c r="B280" s="1">
        <v>45595</v>
      </c>
      <c r="C280">
        <v>2024</v>
      </c>
      <c r="D280" t="s">
        <v>1224</v>
      </c>
      <c r="E280" t="s">
        <v>1213</v>
      </c>
      <c r="F280" t="s">
        <v>1106</v>
      </c>
      <c r="G280" t="s">
        <v>1010</v>
      </c>
      <c r="H280" s="2">
        <v>7000</v>
      </c>
      <c r="I280" t="s">
        <v>1206</v>
      </c>
      <c r="J280" t="s">
        <v>1030</v>
      </c>
      <c r="K280" t="s">
        <v>1031</v>
      </c>
    </row>
    <row r="281" spans="1:11" x14ac:dyDescent="0.25">
      <c r="A281" t="s">
        <v>280</v>
      </c>
      <c r="B281" s="1">
        <v>45595</v>
      </c>
      <c r="C281">
        <v>2024</v>
      </c>
      <c r="D281" t="s">
        <v>1224</v>
      </c>
      <c r="E281" t="s">
        <v>1213</v>
      </c>
      <c r="F281" t="s">
        <v>1046</v>
      </c>
      <c r="G281" t="s">
        <v>1014</v>
      </c>
      <c r="H281" s="2">
        <v>4300</v>
      </c>
      <c r="I281" t="s">
        <v>1211</v>
      </c>
      <c r="J281" t="s">
        <v>1030</v>
      </c>
      <c r="K281" t="s">
        <v>1031</v>
      </c>
    </row>
    <row r="282" spans="1:11" x14ac:dyDescent="0.25">
      <c r="A282" t="s">
        <v>281</v>
      </c>
      <c r="B282" s="1">
        <v>45600</v>
      </c>
      <c r="C282">
        <v>2024</v>
      </c>
      <c r="D282" t="s">
        <v>1227</v>
      </c>
      <c r="E282" t="s">
        <v>1205</v>
      </c>
      <c r="F282" t="s">
        <v>1035</v>
      </c>
      <c r="G282" t="s">
        <v>1197</v>
      </c>
      <c r="H282" s="2">
        <v>11000</v>
      </c>
      <c r="I282" t="s">
        <v>1206</v>
      </c>
      <c r="J282" t="s">
        <v>1030</v>
      </c>
      <c r="K282" t="s">
        <v>1031</v>
      </c>
    </row>
    <row r="283" spans="1:11" x14ac:dyDescent="0.25">
      <c r="A283" t="s">
        <v>282</v>
      </c>
      <c r="B283" s="1">
        <v>45600</v>
      </c>
      <c r="C283">
        <v>2024</v>
      </c>
      <c r="D283" t="s">
        <v>1227</v>
      </c>
      <c r="E283" t="s">
        <v>1205</v>
      </c>
      <c r="F283" t="s">
        <v>1033</v>
      </c>
      <c r="G283" t="s">
        <v>1014</v>
      </c>
      <c r="H283" s="2">
        <v>77920</v>
      </c>
      <c r="I283" t="s">
        <v>1206</v>
      </c>
      <c r="J283" t="s">
        <v>1030</v>
      </c>
      <c r="K283" t="s">
        <v>1031</v>
      </c>
    </row>
    <row r="284" spans="1:11" x14ac:dyDescent="0.25">
      <c r="A284" t="s">
        <v>283</v>
      </c>
      <c r="B284" s="1">
        <v>45600</v>
      </c>
      <c r="C284">
        <v>2024</v>
      </c>
      <c r="D284" t="s">
        <v>1227</v>
      </c>
      <c r="E284" t="s">
        <v>1205</v>
      </c>
      <c r="F284" t="s">
        <v>1102</v>
      </c>
      <c r="G284" t="s">
        <v>1011</v>
      </c>
      <c r="H284" s="2">
        <v>29000</v>
      </c>
      <c r="I284" t="s">
        <v>1206</v>
      </c>
      <c r="J284" t="s">
        <v>1030</v>
      </c>
      <c r="K284" t="s">
        <v>1031</v>
      </c>
    </row>
    <row r="285" spans="1:11" x14ac:dyDescent="0.25">
      <c r="A285" t="s">
        <v>284</v>
      </c>
      <c r="B285" s="1">
        <v>45601</v>
      </c>
      <c r="C285">
        <v>2024</v>
      </c>
      <c r="D285" t="s">
        <v>1227</v>
      </c>
      <c r="E285" t="s">
        <v>1205</v>
      </c>
      <c r="F285" t="s">
        <v>1018</v>
      </c>
      <c r="G285" t="s">
        <v>1013</v>
      </c>
      <c r="H285" s="2">
        <v>3000</v>
      </c>
      <c r="I285" t="s">
        <v>1206</v>
      </c>
      <c r="J285" t="s">
        <v>1030</v>
      </c>
      <c r="K285" t="s">
        <v>1031</v>
      </c>
    </row>
    <row r="286" spans="1:11" x14ac:dyDescent="0.25">
      <c r="A286" t="s">
        <v>285</v>
      </c>
      <c r="B286" s="1">
        <v>45601</v>
      </c>
      <c r="C286">
        <v>2024</v>
      </c>
      <c r="D286" t="s">
        <v>1227</v>
      </c>
      <c r="E286" t="s">
        <v>1205</v>
      </c>
      <c r="F286" t="s">
        <v>1018</v>
      </c>
      <c r="G286" t="s">
        <v>1013</v>
      </c>
      <c r="H286" s="2">
        <v>5000</v>
      </c>
      <c r="I286" t="s">
        <v>1206</v>
      </c>
      <c r="J286" t="s">
        <v>1030</v>
      </c>
      <c r="K286" t="s">
        <v>1031</v>
      </c>
    </row>
    <row r="287" spans="1:11" x14ac:dyDescent="0.25">
      <c r="A287" t="s">
        <v>286</v>
      </c>
      <c r="B287" s="1">
        <v>45602</v>
      </c>
      <c r="C287">
        <v>2024</v>
      </c>
      <c r="D287" t="s">
        <v>1227</v>
      </c>
      <c r="E287" t="s">
        <v>1205</v>
      </c>
      <c r="F287" t="s">
        <v>1049</v>
      </c>
      <c r="G287" t="s">
        <v>1199</v>
      </c>
      <c r="H287" s="2">
        <v>20000</v>
      </c>
      <c r="I287" t="s">
        <v>1206</v>
      </c>
      <c r="J287" t="s">
        <v>1030</v>
      </c>
      <c r="K287" t="s">
        <v>1031</v>
      </c>
    </row>
    <row r="288" spans="1:11" x14ac:dyDescent="0.25">
      <c r="A288" t="s">
        <v>287</v>
      </c>
      <c r="B288" s="1">
        <v>45604</v>
      </c>
      <c r="C288">
        <v>2024</v>
      </c>
      <c r="D288" t="s">
        <v>1227</v>
      </c>
      <c r="E288" t="s">
        <v>1207</v>
      </c>
      <c r="F288" t="s">
        <v>1037</v>
      </c>
      <c r="G288" t="s">
        <v>1199</v>
      </c>
      <c r="H288" s="2">
        <v>20000</v>
      </c>
      <c r="I288" t="s">
        <v>1206</v>
      </c>
      <c r="J288" t="s">
        <v>1030</v>
      </c>
      <c r="K288" t="s">
        <v>1031</v>
      </c>
    </row>
    <row r="289" spans="1:11" x14ac:dyDescent="0.25">
      <c r="A289" t="s">
        <v>288</v>
      </c>
      <c r="B289" s="1">
        <v>45604</v>
      </c>
      <c r="C289">
        <v>2024</v>
      </c>
      <c r="D289" t="s">
        <v>1227</v>
      </c>
      <c r="E289" t="s">
        <v>1207</v>
      </c>
      <c r="F289" t="s">
        <v>1107</v>
      </c>
      <c r="G289" t="s">
        <v>1015</v>
      </c>
      <c r="H289" s="2">
        <v>10000</v>
      </c>
      <c r="I289" t="s">
        <v>1212</v>
      </c>
      <c r="J289" t="s">
        <v>1030</v>
      </c>
      <c r="K289" t="s">
        <v>1031</v>
      </c>
    </row>
    <row r="290" spans="1:11" x14ac:dyDescent="0.25">
      <c r="A290" t="s">
        <v>289</v>
      </c>
      <c r="B290" s="1">
        <v>45603</v>
      </c>
      <c r="C290">
        <v>2024</v>
      </c>
      <c r="D290" t="s">
        <v>1227</v>
      </c>
      <c r="E290" t="s">
        <v>1205</v>
      </c>
      <c r="F290" t="s">
        <v>1108</v>
      </c>
      <c r="G290" t="s">
        <v>1015</v>
      </c>
      <c r="H290" s="2">
        <v>7000</v>
      </c>
      <c r="I290" t="s">
        <v>1206</v>
      </c>
      <c r="J290" t="s">
        <v>1030</v>
      </c>
      <c r="K290" t="s">
        <v>1031</v>
      </c>
    </row>
    <row r="291" spans="1:11" x14ac:dyDescent="0.25">
      <c r="A291" t="s">
        <v>290</v>
      </c>
      <c r="B291" s="1">
        <v>45615</v>
      </c>
      <c r="C291">
        <v>2024</v>
      </c>
      <c r="D291" t="s">
        <v>1227</v>
      </c>
      <c r="E291" t="s">
        <v>1208</v>
      </c>
      <c r="F291" t="s">
        <v>1109</v>
      </c>
      <c r="G291" t="s">
        <v>1010</v>
      </c>
      <c r="H291" s="2">
        <v>2500</v>
      </c>
      <c r="I291" t="s">
        <v>1206</v>
      </c>
      <c r="J291" t="s">
        <v>1030</v>
      </c>
      <c r="K291" t="s">
        <v>1031</v>
      </c>
    </row>
    <row r="292" spans="1:11" x14ac:dyDescent="0.25">
      <c r="A292" t="s">
        <v>291</v>
      </c>
      <c r="B292" s="1">
        <v>45615</v>
      </c>
      <c r="C292">
        <v>2024</v>
      </c>
      <c r="D292" t="s">
        <v>1227</v>
      </c>
      <c r="E292" t="s">
        <v>1208</v>
      </c>
      <c r="F292" t="s">
        <v>1035</v>
      </c>
      <c r="G292" t="s">
        <v>1197</v>
      </c>
      <c r="H292" s="2">
        <v>10000</v>
      </c>
      <c r="I292" t="s">
        <v>1206</v>
      </c>
      <c r="J292" t="s">
        <v>1030</v>
      </c>
      <c r="K292" t="s">
        <v>1031</v>
      </c>
    </row>
    <row r="293" spans="1:11" x14ac:dyDescent="0.25">
      <c r="A293" t="s">
        <v>292</v>
      </c>
      <c r="B293" s="1">
        <v>45616</v>
      </c>
      <c r="C293">
        <v>2024</v>
      </c>
      <c r="D293" t="s">
        <v>1227</v>
      </c>
      <c r="E293" t="s">
        <v>1208</v>
      </c>
      <c r="F293" t="s">
        <v>1046</v>
      </c>
      <c r="G293" t="s">
        <v>1014</v>
      </c>
      <c r="H293" s="2">
        <v>4500</v>
      </c>
      <c r="I293" t="s">
        <v>1211</v>
      </c>
      <c r="J293" t="s">
        <v>1030</v>
      </c>
      <c r="K293" t="s">
        <v>1031</v>
      </c>
    </row>
    <row r="294" spans="1:11" x14ac:dyDescent="0.25">
      <c r="A294" t="s">
        <v>293</v>
      </c>
      <c r="B294" s="1">
        <v>45617</v>
      </c>
      <c r="C294">
        <v>2024</v>
      </c>
      <c r="D294" t="s">
        <v>1227</v>
      </c>
      <c r="E294" t="s">
        <v>1208</v>
      </c>
      <c r="F294" t="s">
        <v>1110</v>
      </c>
      <c r="G294" t="s">
        <v>1010</v>
      </c>
      <c r="H294" s="2">
        <v>6000</v>
      </c>
      <c r="I294" t="s">
        <v>1206</v>
      </c>
      <c r="J294" t="s">
        <v>1030</v>
      </c>
      <c r="K294" t="s">
        <v>1031</v>
      </c>
    </row>
    <row r="295" spans="1:11" x14ac:dyDescent="0.25">
      <c r="A295" t="s">
        <v>294</v>
      </c>
      <c r="B295" s="1">
        <v>45621</v>
      </c>
      <c r="C295">
        <v>2024</v>
      </c>
      <c r="D295" t="s">
        <v>1227</v>
      </c>
      <c r="E295" t="s">
        <v>1210</v>
      </c>
      <c r="F295" t="s">
        <v>1035</v>
      </c>
      <c r="G295" t="s">
        <v>1197</v>
      </c>
      <c r="H295" s="2">
        <v>11000</v>
      </c>
      <c r="I295" t="s">
        <v>1206</v>
      </c>
      <c r="J295" t="s">
        <v>1030</v>
      </c>
      <c r="K295" t="s">
        <v>1031</v>
      </c>
    </row>
    <row r="296" spans="1:11" x14ac:dyDescent="0.25">
      <c r="A296" t="s">
        <v>295</v>
      </c>
      <c r="B296" s="1">
        <v>45623</v>
      </c>
      <c r="C296">
        <v>2024</v>
      </c>
      <c r="D296" t="s">
        <v>1227</v>
      </c>
      <c r="E296" t="s">
        <v>1210</v>
      </c>
      <c r="F296" t="s">
        <v>1018</v>
      </c>
      <c r="G296" t="s">
        <v>1013</v>
      </c>
      <c r="H296" s="2">
        <v>3000</v>
      </c>
      <c r="I296" t="s">
        <v>1206</v>
      </c>
      <c r="J296" t="s">
        <v>1030</v>
      </c>
      <c r="K296" t="s">
        <v>1031</v>
      </c>
    </row>
    <row r="297" spans="1:11" x14ac:dyDescent="0.25">
      <c r="A297" t="s">
        <v>296</v>
      </c>
      <c r="B297" s="1">
        <v>45624</v>
      </c>
      <c r="C297">
        <v>2024</v>
      </c>
      <c r="D297" t="s">
        <v>1227</v>
      </c>
      <c r="E297" t="s">
        <v>1210</v>
      </c>
      <c r="F297" t="s">
        <v>1025</v>
      </c>
      <c r="G297" t="s">
        <v>1014</v>
      </c>
      <c r="H297" s="2">
        <v>5000</v>
      </c>
      <c r="I297" t="s">
        <v>1206</v>
      </c>
      <c r="J297" t="s">
        <v>1030</v>
      </c>
      <c r="K297" t="s">
        <v>1031</v>
      </c>
    </row>
    <row r="298" spans="1:11" x14ac:dyDescent="0.25">
      <c r="A298" t="s">
        <v>297</v>
      </c>
      <c r="B298" s="1">
        <v>45625</v>
      </c>
      <c r="C298">
        <v>2024</v>
      </c>
      <c r="D298" t="s">
        <v>1227</v>
      </c>
      <c r="E298" t="s">
        <v>1213</v>
      </c>
      <c r="F298" t="s">
        <v>1023</v>
      </c>
      <c r="G298" t="s">
        <v>1201</v>
      </c>
      <c r="H298" s="2">
        <v>7000</v>
      </c>
      <c r="I298" t="s">
        <v>1212</v>
      </c>
      <c r="J298" t="s">
        <v>1030</v>
      </c>
      <c r="K298" t="s">
        <v>1031</v>
      </c>
    </row>
    <row r="299" spans="1:11" x14ac:dyDescent="0.25">
      <c r="A299" t="s">
        <v>298</v>
      </c>
      <c r="B299" s="1">
        <v>45625</v>
      </c>
      <c r="C299">
        <v>2024</v>
      </c>
      <c r="D299" t="s">
        <v>1227</v>
      </c>
      <c r="E299" t="s">
        <v>1213</v>
      </c>
      <c r="F299" t="s">
        <v>1099</v>
      </c>
      <c r="G299" t="s">
        <v>1198</v>
      </c>
      <c r="H299" s="2">
        <v>30000</v>
      </c>
      <c r="I299" t="s">
        <v>1206</v>
      </c>
      <c r="J299" t="s">
        <v>1030</v>
      </c>
      <c r="K299" t="s">
        <v>1031</v>
      </c>
    </row>
    <row r="300" spans="1:11" x14ac:dyDescent="0.25">
      <c r="A300" t="s">
        <v>299</v>
      </c>
      <c r="B300" s="1">
        <v>45621</v>
      </c>
      <c r="C300">
        <v>2024</v>
      </c>
      <c r="D300" t="s">
        <v>1227</v>
      </c>
      <c r="E300" t="s">
        <v>1210</v>
      </c>
      <c r="F300" t="s">
        <v>1065</v>
      </c>
      <c r="G300" t="s">
        <v>1011</v>
      </c>
      <c r="H300" s="2">
        <v>35000</v>
      </c>
      <c r="I300" t="s">
        <v>1211</v>
      </c>
      <c r="J300" t="s">
        <v>1030</v>
      </c>
      <c r="K300" t="s">
        <v>1031</v>
      </c>
    </row>
    <row r="301" spans="1:11" x14ac:dyDescent="0.25">
      <c r="A301" t="s">
        <v>300</v>
      </c>
      <c r="B301" s="1">
        <v>45624</v>
      </c>
      <c r="C301">
        <v>2024</v>
      </c>
      <c r="D301" t="s">
        <v>1227</v>
      </c>
      <c r="E301" t="s">
        <v>1210</v>
      </c>
      <c r="F301" t="s">
        <v>1065</v>
      </c>
      <c r="G301" t="s">
        <v>1011</v>
      </c>
      <c r="H301" s="2">
        <v>20000</v>
      </c>
      <c r="I301" t="s">
        <v>1211</v>
      </c>
      <c r="J301" t="s">
        <v>1030</v>
      </c>
      <c r="K301" t="s">
        <v>1031</v>
      </c>
    </row>
    <row r="302" spans="1:11" x14ac:dyDescent="0.25">
      <c r="A302" t="s">
        <v>301</v>
      </c>
      <c r="B302" s="1">
        <v>45628</v>
      </c>
      <c r="C302">
        <v>2024</v>
      </c>
      <c r="D302" t="s">
        <v>1228</v>
      </c>
      <c r="E302" t="s">
        <v>1205</v>
      </c>
      <c r="F302" t="s">
        <v>1037</v>
      </c>
      <c r="G302" t="s">
        <v>1199</v>
      </c>
      <c r="H302" s="2">
        <v>20000</v>
      </c>
      <c r="I302" t="s">
        <v>1206</v>
      </c>
      <c r="J302" t="s">
        <v>1030</v>
      </c>
      <c r="K302" t="s">
        <v>1031</v>
      </c>
    </row>
    <row r="303" spans="1:11" x14ac:dyDescent="0.25">
      <c r="A303" t="s">
        <v>302</v>
      </c>
      <c r="B303" s="1">
        <v>45628</v>
      </c>
      <c r="C303">
        <v>2024</v>
      </c>
      <c r="D303" t="s">
        <v>1228</v>
      </c>
      <c r="E303" t="s">
        <v>1205</v>
      </c>
      <c r="F303" t="s">
        <v>1033</v>
      </c>
      <c r="G303" t="s">
        <v>1014</v>
      </c>
      <c r="H303" s="2">
        <v>103330</v>
      </c>
      <c r="I303" t="s">
        <v>1211</v>
      </c>
      <c r="J303" t="s">
        <v>1030</v>
      </c>
      <c r="K303" t="s">
        <v>1031</v>
      </c>
    </row>
    <row r="304" spans="1:11" x14ac:dyDescent="0.25">
      <c r="A304" t="s">
        <v>303</v>
      </c>
      <c r="B304" s="1">
        <v>45628</v>
      </c>
      <c r="C304">
        <v>2024</v>
      </c>
      <c r="D304" t="s">
        <v>1228</v>
      </c>
      <c r="E304" t="s">
        <v>1205</v>
      </c>
      <c r="F304" t="s">
        <v>1111</v>
      </c>
      <c r="G304" t="s">
        <v>1012</v>
      </c>
      <c r="H304" s="2">
        <v>9730</v>
      </c>
      <c r="I304" t="s">
        <v>1211</v>
      </c>
      <c r="J304" t="s">
        <v>1030</v>
      </c>
      <c r="K304" t="s">
        <v>1031</v>
      </c>
    </row>
    <row r="305" spans="1:11" x14ac:dyDescent="0.25">
      <c r="A305" t="s">
        <v>304</v>
      </c>
      <c r="B305" s="1">
        <v>45628</v>
      </c>
      <c r="C305">
        <v>2024</v>
      </c>
      <c r="D305" t="s">
        <v>1228</v>
      </c>
      <c r="E305" t="s">
        <v>1205</v>
      </c>
      <c r="F305" t="s">
        <v>1112</v>
      </c>
      <c r="G305" t="s">
        <v>1198</v>
      </c>
      <c r="H305" s="2">
        <v>5000</v>
      </c>
      <c r="I305" t="s">
        <v>1212</v>
      </c>
      <c r="J305" t="s">
        <v>1030</v>
      </c>
      <c r="K305" t="s">
        <v>1031</v>
      </c>
    </row>
    <row r="306" spans="1:11" x14ac:dyDescent="0.25">
      <c r="A306" t="s">
        <v>305</v>
      </c>
      <c r="B306" s="1">
        <v>45628</v>
      </c>
      <c r="C306">
        <v>2024</v>
      </c>
      <c r="D306" t="s">
        <v>1228</v>
      </c>
      <c r="E306" t="s">
        <v>1205</v>
      </c>
      <c r="F306" t="s">
        <v>1018</v>
      </c>
      <c r="G306" t="s">
        <v>1013</v>
      </c>
      <c r="H306" s="2">
        <v>5000</v>
      </c>
      <c r="I306" t="s">
        <v>1206</v>
      </c>
      <c r="J306" t="s">
        <v>1030</v>
      </c>
      <c r="K306" t="s">
        <v>1031</v>
      </c>
    </row>
    <row r="307" spans="1:11" x14ac:dyDescent="0.25">
      <c r="A307" t="s">
        <v>306</v>
      </c>
      <c r="B307" s="1">
        <v>45629</v>
      </c>
      <c r="C307">
        <v>2024</v>
      </c>
      <c r="D307" t="s">
        <v>1228</v>
      </c>
      <c r="E307" t="s">
        <v>1205</v>
      </c>
      <c r="F307" t="s">
        <v>1049</v>
      </c>
      <c r="G307" t="s">
        <v>1199</v>
      </c>
      <c r="H307" s="2">
        <v>20000</v>
      </c>
      <c r="I307" t="s">
        <v>1206</v>
      </c>
      <c r="J307" t="s">
        <v>1030</v>
      </c>
      <c r="K307" t="s">
        <v>1031</v>
      </c>
    </row>
    <row r="308" spans="1:11" x14ac:dyDescent="0.25">
      <c r="A308" t="s">
        <v>307</v>
      </c>
      <c r="B308" s="1">
        <v>45630</v>
      </c>
      <c r="C308">
        <v>2024</v>
      </c>
      <c r="D308" t="s">
        <v>1228</v>
      </c>
      <c r="E308" t="s">
        <v>1205</v>
      </c>
      <c r="F308" t="s">
        <v>1113</v>
      </c>
      <c r="G308" t="s">
        <v>1010</v>
      </c>
      <c r="H308" s="2">
        <v>6000</v>
      </c>
      <c r="I308" t="s">
        <v>1206</v>
      </c>
      <c r="J308" t="s">
        <v>1030</v>
      </c>
      <c r="K308" t="s">
        <v>1031</v>
      </c>
    </row>
    <row r="309" spans="1:11" x14ac:dyDescent="0.25">
      <c r="A309" t="s">
        <v>308</v>
      </c>
      <c r="B309" s="1">
        <v>45630</v>
      </c>
      <c r="C309">
        <v>2024</v>
      </c>
      <c r="D309" t="s">
        <v>1228</v>
      </c>
      <c r="E309" t="s">
        <v>1205</v>
      </c>
      <c r="F309" t="s">
        <v>1114</v>
      </c>
      <c r="G309" t="s">
        <v>1015</v>
      </c>
      <c r="H309" s="2">
        <v>16000</v>
      </c>
      <c r="I309" t="s">
        <v>1212</v>
      </c>
      <c r="J309" t="s">
        <v>1030</v>
      </c>
      <c r="K309" t="s">
        <v>1031</v>
      </c>
    </row>
    <row r="310" spans="1:11" x14ac:dyDescent="0.25">
      <c r="A310" t="s">
        <v>309</v>
      </c>
      <c r="B310" s="1">
        <v>45607</v>
      </c>
      <c r="C310">
        <v>2024</v>
      </c>
      <c r="D310" t="s">
        <v>1227</v>
      </c>
      <c r="E310" t="s">
        <v>1207</v>
      </c>
      <c r="F310" t="s">
        <v>1035</v>
      </c>
      <c r="G310" t="s">
        <v>1197</v>
      </c>
      <c r="H310" s="2">
        <v>11000</v>
      </c>
      <c r="I310" t="s">
        <v>1206</v>
      </c>
      <c r="J310" t="s">
        <v>1030</v>
      </c>
      <c r="K310" t="s">
        <v>1031</v>
      </c>
    </row>
    <row r="311" spans="1:11" x14ac:dyDescent="0.25">
      <c r="A311" t="s">
        <v>310</v>
      </c>
      <c r="B311" s="1">
        <v>45609</v>
      </c>
      <c r="C311">
        <v>2024</v>
      </c>
      <c r="D311" t="s">
        <v>1227</v>
      </c>
      <c r="E311" t="s">
        <v>1207</v>
      </c>
      <c r="F311" t="s">
        <v>1113</v>
      </c>
      <c r="G311" t="s">
        <v>1010</v>
      </c>
      <c r="H311" s="2">
        <v>10000</v>
      </c>
      <c r="I311" t="s">
        <v>1212</v>
      </c>
      <c r="J311" t="s">
        <v>1030</v>
      </c>
      <c r="K311" t="s">
        <v>1031</v>
      </c>
    </row>
    <row r="312" spans="1:11" x14ac:dyDescent="0.25">
      <c r="A312" t="s">
        <v>311</v>
      </c>
      <c r="B312" s="1">
        <v>45610</v>
      </c>
      <c r="C312">
        <v>2024</v>
      </c>
      <c r="D312" t="s">
        <v>1227</v>
      </c>
      <c r="E312" t="s">
        <v>1207</v>
      </c>
      <c r="F312" t="s">
        <v>1113</v>
      </c>
      <c r="G312" t="s">
        <v>1010</v>
      </c>
      <c r="H312" s="2">
        <v>8000</v>
      </c>
      <c r="I312" t="s">
        <v>1212</v>
      </c>
      <c r="J312" t="s">
        <v>1030</v>
      </c>
      <c r="K312" t="s">
        <v>1031</v>
      </c>
    </row>
    <row r="313" spans="1:11" x14ac:dyDescent="0.25">
      <c r="A313" t="s">
        <v>312</v>
      </c>
      <c r="B313" s="1">
        <v>45610</v>
      </c>
      <c r="C313">
        <v>2024</v>
      </c>
      <c r="D313" t="s">
        <v>1227</v>
      </c>
      <c r="E313" t="s">
        <v>1207</v>
      </c>
      <c r="F313" t="s">
        <v>1115</v>
      </c>
      <c r="G313" t="s">
        <v>1198</v>
      </c>
      <c r="H313" s="2">
        <v>4000</v>
      </c>
      <c r="I313" t="s">
        <v>1212</v>
      </c>
      <c r="J313" t="s">
        <v>1030</v>
      </c>
      <c r="K313" t="s">
        <v>1031</v>
      </c>
    </row>
    <row r="314" spans="1:11" x14ac:dyDescent="0.25">
      <c r="A314" t="s">
        <v>313</v>
      </c>
      <c r="B314" s="1">
        <v>45611</v>
      </c>
      <c r="C314">
        <v>2024</v>
      </c>
      <c r="D314" t="s">
        <v>1227</v>
      </c>
      <c r="E314" t="s">
        <v>1208</v>
      </c>
      <c r="F314" t="s">
        <v>1045</v>
      </c>
      <c r="G314" t="s">
        <v>1197</v>
      </c>
      <c r="H314" s="2">
        <v>64000</v>
      </c>
      <c r="I314" t="s">
        <v>1206</v>
      </c>
      <c r="J314" t="s">
        <v>1030</v>
      </c>
      <c r="K314" t="s">
        <v>1031</v>
      </c>
    </row>
    <row r="315" spans="1:11" x14ac:dyDescent="0.25">
      <c r="A315" t="s">
        <v>314</v>
      </c>
      <c r="B315" s="1">
        <v>45613</v>
      </c>
      <c r="C315">
        <v>2024</v>
      </c>
      <c r="D315" t="s">
        <v>1227</v>
      </c>
      <c r="E315" t="s">
        <v>1208</v>
      </c>
      <c r="F315" t="s">
        <v>1018</v>
      </c>
      <c r="G315" t="s">
        <v>1013</v>
      </c>
      <c r="H315" s="2">
        <v>3000</v>
      </c>
      <c r="I315" t="s">
        <v>1206</v>
      </c>
      <c r="J315" t="s">
        <v>1030</v>
      </c>
      <c r="K315" t="s">
        <v>1031</v>
      </c>
    </row>
    <row r="316" spans="1:11" x14ac:dyDescent="0.25">
      <c r="A316" t="s">
        <v>315</v>
      </c>
      <c r="B316" s="1">
        <v>45607</v>
      </c>
      <c r="C316">
        <v>2024</v>
      </c>
      <c r="D316" t="s">
        <v>1227</v>
      </c>
      <c r="E316" t="s">
        <v>1207</v>
      </c>
      <c r="F316" t="s">
        <v>1040</v>
      </c>
      <c r="G316" t="s">
        <v>1199</v>
      </c>
      <c r="H316" s="2">
        <v>20000</v>
      </c>
      <c r="I316" t="s">
        <v>1206</v>
      </c>
      <c r="J316" t="s">
        <v>1030</v>
      </c>
      <c r="K316" t="s">
        <v>1031</v>
      </c>
    </row>
    <row r="317" spans="1:11" x14ac:dyDescent="0.25">
      <c r="A317" t="s">
        <v>316</v>
      </c>
      <c r="B317" s="1">
        <v>45629</v>
      </c>
      <c r="C317">
        <v>2024</v>
      </c>
      <c r="D317" t="s">
        <v>1228</v>
      </c>
      <c r="E317" t="s">
        <v>1205</v>
      </c>
      <c r="F317" t="s">
        <v>1035</v>
      </c>
      <c r="G317" t="s">
        <v>1197</v>
      </c>
      <c r="H317" s="2">
        <v>11000</v>
      </c>
      <c r="I317" t="s">
        <v>1206</v>
      </c>
      <c r="J317" t="s">
        <v>1030</v>
      </c>
      <c r="K317" t="s">
        <v>1031</v>
      </c>
    </row>
    <row r="318" spans="1:11" x14ac:dyDescent="0.25">
      <c r="A318" t="s">
        <v>317</v>
      </c>
      <c r="B318" s="1">
        <v>45632</v>
      </c>
      <c r="C318">
        <v>2024</v>
      </c>
      <c r="D318" t="s">
        <v>1228</v>
      </c>
      <c r="E318" t="s">
        <v>1205</v>
      </c>
      <c r="F318" t="s">
        <v>1045</v>
      </c>
      <c r="G318" t="s">
        <v>1197</v>
      </c>
      <c r="H318" s="2">
        <v>100000</v>
      </c>
      <c r="I318" t="s">
        <v>1206</v>
      </c>
      <c r="J318" t="s">
        <v>1030</v>
      </c>
      <c r="K318" t="s">
        <v>1031</v>
      </c>
    </row>
    <row r="319" spans="1:11" x14ac:dyDescent="0.25">
      <c r="A319" t="s">
        <v>318</v>
      </c>
      <c r="B319" s="1">
        <v>45633</v>
      </c>
      <c r="C319">
        <v>2024</v>
      </c>
      <c r="D319" t="s">
        <v>1228</v>
      </c>
      <c r="E319" t="s">
        <v>1205</v>
      </c>
      <c r="F319" t="s">
        <v>1116</v>
      </c>
      <c r="G319" t="s">
        <v>1015</v>
      </c>
      <c r="H319" s="2">
        <v>11250</v>
      </c>
      <c r="I319" t="s">
        <v>1211</v>
      </c>
      <c r="J319" t="s">
        <v>1030</v>
      </c>
      <c r="K319" t="s">
        <v>1031</v>
      </c>
    </row>
    <row r="320" spans="1:11" x14ac:dyDescent="0.25">
      <c r="A320" t="s">
        <v>319</v>
      </c>
      <c r="B320" s="1">
        <v>45635</v>
      </c>
      <c r="C320">
        <v>2024</v>
      </c>
      <c r="D320" t="s">
        <v>1228</v>
      </c>
      <c r="E320" t="s">
        <v>1207</v>
      </c>
      <c r="F320" t="s">
        <v>1046</v>
      </c>
      <c r="G320" t="s">
        <v>1014</v>
      </c>
      <c r="H320" s="2">
        <v>4500</v>
      </c>
      <c r="I320" t="s">
        <v>1211</v>
      </c>
      <c r="J320" t="s">
        <v>1030</v>
      </c>
      <c r="K320" t="s">
        <v>1031</v>
      </c>
    </row>
    <row r="321" spans="1:11" x14ac:dyDescent="0.25">
      <c r="A321" t="s">
        <v>320</v>
      </c>
      <c r="B321" s="1">
        <v>45635</v>
      </c>
      <c r="C321">
        <v>2024</v>
      </c>
      <c r="D321" t="s">
        <v>1228</v>
      </c>
      <c r="E321" t="s">
        <v>1207</v>
      </c>
      <c r="F321" t="s">
        <v>1040</v>
      </c>
      <c r="G321" t="s">
        <v>1199</v>
      </c>
      <c r="H321" s="2">
        <v>20000</v>
      </c>
      <c r="I321" t="s">
        <v>1206</v>
      </c>
      <c r="J321" t="s">
        <v>1030</v>
      </c>
      <c r="K321" t="s">
        <v>1031</v>
      </c>
    </row>
    <row r="322" spans="1:11" x14ac:dyDescent="0.25">
      <c r="A322" t="s">
        <v>321</v>
      </c>
      <c r="B322" s="1">
        <v>45635</v>
      </c>
      <c r="C322">
        <v>2024</v>
      </c>
      <c r="D322" t="s">
        <v>1228</v>
      </c>
      <c r="E322" t="s">
        <v>1207</v>
      </c>
      <c r="F322" t="s">
        <v>1035</v>
      </c>
      <c r="G322" t="s">
        <v>1197</v>
      </c>
      <c r="H322" s="2">
        <v>11000</v>
      </c>
      <c r="I322" t="s">
        <v>1206</v>
      </c>
      <c r="J322" t="s">
        <v>1030</v>
      </c>
      <c r="K322" t="s">
        <v>1031</v>
      </c>
    </row>
    <row r="323" spans="1:11" x14ac:dyDescent="0.25">
      <c r="A323" t="s">
        <v>322</v>
      </c>
      <c r="B323" s="1">
        <v>45637</v>
      </c>
      <c r="C323">
        <v>2024</v>
      </c>
      <c r="D323" t="s">
        <v>1228</v>
      </c>
      <c r="E323" t="s">
        <v>1207</v>
      </c>
      <c r="F323" t="s">
        <v>1117</v>
      </c>
      <c r="G323" t="s">
        <v>1198</v>
      </c>
      <c r="H323" s="2">
        <v>8500</v>
      </c>
      <c r="I323" t="s">
        <v>1212</v>
      </c>
      <c r="J323" t="s">
        <v>1030</v>
      </c>
      <c r="K323" t="s">
        <v>1031</v>
      </c>
    </row>
    <row r="324" spans="1:11" x14ac:dyDescent="0.25">
      <c r="A324" t="s">
        <v>323</v>
      </c>
      <c r="B324" s="1">
        <v>45637</v>
      </c>
      <c r="C324">
        <v>2024</v>
      </c>
      <c r="D324" t="s">
        <v>1228</v>
      </c>
      <c r="E324" t="s">
        <v>1207</v>
      </c>
      <c r="F324" t="s">
        <v>1025</v>
      </c>
      <c r="G324" t="s">
        <v>1014</v>
      </c>
      <c r="H324" s="2">
        <v>5000</v>
      </c>
      <c r="I324" t="s">
        <v>1206</v>
      </c>
      <c r="J324" t="s">
        <v>1030</v>
      </c>
      <c r="K324" t="s">
        <v>1031</v>
      </c>
    </row>
    <row r="325" spans="1:11" x14ac:dyDescent="0.25">
      <c r="A325" t="s">
        <v>324</v>
      </c>
      <c r="B325" s="1">
        <v>45638</v>
      </c>
      <c r="C325">
        <v>2024</v>
      </c>
      <c r="D325" t="s">
        <v>1228</v>
      </c>
      <c r="E325" t="s">
        <v>1207</v>
      </c>
      <c r="F325" t="s">
        <v>1018</v>
      </c>
      <c r="G325" t="s">
        <v>1013</v>
      </c>
      <c r="H325" s="2">
        <v>3000</v>
      </c>
      <c r="I325" t="s">
        <v>1206</v>
      </c>
      <c r="J325" t="s">
        <v>1030</v>
      </c>
      <c r="K325" t="s">
        <v>1031</v>
      </c>
    </row>
    <row r="326" spans="1:11" x14ac:dyDescent="0.25">
      <c r="A326" t="s">
        <v>325</v>
      </c>
      <c r="B326" s="1">
        <v>45643</v>
      </c>
      <c r="C326">
        <v>2024</v>
      </c>
      <c r="D326" t="s">
        <v>1228</v>
      </c>
      <c r="E326" t="s">
        <v>1208</v>
      </c>
      <c r="F326" t="s">
        <v>1052</v>
      </c>
      <c r="G326" t="s">
        <v>1198</v>
      </c>
      <c r="H326" s="2">
        <v>5000</v>
      </c>
      <c r="I326" t="s">
        <v>1212</v>
      </c>
      <c r="J326" t="s">
        <v>1030</v>
      </c>
      <c r="K326" t="s">
        <v>1031</v>
      </c>
    </row>
    <row r="327" spans="1:11" x14ac:dyDescent="0.25">
      <c r="A327" t="s">
        <v>326</v>
      </c>
      <c r="B327" s="1">
        <v>45645</v>
      </c>
      <c r="C327">
        <v>2024</v>
      </c>
      <c r="D327" t="s">
        <v>1228</v>
      </c>
      <c r="E327" t="s">
        <v>1208</v>
      </c>
      <c r="F327" t="s">
        <v>1118</v>
      </c>
      <c r="G327" t="s">
        <v>1198</v>
      </c>
      <c r="H327" s="2">
        <v>8000</v>
      </c>
      <c r="I327" t="s">
        <v>1212</v>
      </c>
      <c r="J327" t="s">
        <v>1030</v>
      </c>
      <c r="K327" t="s">
        <v>1031</v>
      </c>
    </row>
    <row r="328" spans="1:11" x14ac:dyDescent="0.25">
      <c r="A328" t="s">
        <v>327</v>
      </c>
      <c r="B328" s="1">
        <v>45646</v>
      </c>
      <c r="C328">
        <v>2024</v>
      </c>
      <c r="D328" t="s">
        <v>1228</v>
      </c>
      <c r="E328" t="s">
        <v>1208</v>
      </c>
      <c r="F328" t="s">
        <v>1113</v>
      </c>
      <c r="G328" t="s">
        <v>1010</v>
      </c>
      <c r="H328" s="2">
        <v>7000</v>
      </c>
      <c r="I328" t="s">
        <v>1206</v>
      </c>
      <c r="J328" t="s">
        <v>1030</v>
      </c>
      <c r="K328" t="s">
        <v>1031</v>
      </c>
    </row>
    <row r="329" spans="1:11" x14ac:dyDescent="0.25">
      <c r="A329" t="s">
        <v>328</v>
      </c>
      <c r="B329" s="1">
        <v>45646</v>
      </c>
      <c r="C329">
        <v>2024</v>
      </c>
      <c r="D329" t="s">
        <v>1228</v>
      </c>
      <c r="E329" t="s">
        <v>1208</v>
      </c>
      <c r="F329" t="s">
        <v>1023</v>
      </c>
      <c r="G329" t="s">
        <v>1201</v>
      </c>
      <c r="H329" s="2">
        <v>7000</v>
      </c>
      <c r="I329" t="s">
        <v>1212</v>
      </c>
      <c r="J329" t="s">
        <v>1030</v>
      </c>
      <c r="K329" t="s">
        <v>1031</v>
      </c>
    </row>
    <row r="330" spans="1:11" x14ac:dyDescent="0.25">
      <c r="A330" t="s">
        <v>329</v>
      </c>
      <c r="B330" s="1">
        <v>45647</v>
      </c>
      <c r="C330">
        <v>2024</v>
      </c>
      <c r="D330" t="s">
        <v>1228</v>
      </c>
      <c r="E330" t="s">
        <v>1208</v>
      </c>
      <c r="F330" t="s">
        <v>1018</v>
      </c>
      <c r="G330" t="s">
        <v>1013</v>
      </c>
      <c r="H330" s="2">
        <v>3000</v>
      </c>
      <c r="I330" t="s">
        <v>1206</v>
      </c>
      <c r="J330" t="s">
        <v>1030</v>
      </c>
      <c r="K330" t="s">
        <v>1031</v>
      </c>
    </row>
    <row r="331" spans="1:11" x14ac:dyDescent="0.25">
      <c r="A331" t="s">
        <v>330</v>
      </c>
      <c r="B331" s="1">
        <v>45649</v>
      </c>
      <c r="C331">
        <v>2024</v>
      </c>
      <c r="D331" t="s">
        <v>1228</v>
      </c>
      <c r="E331" t="s">
        <v>1210</v>
      </c>
      <c r="F331" t="s">
        <v>1025</v>
      </c>
      <c r="G331" t="s">
        <v>1014</v>
      </c>
      <c r="H331" s="2">
        <v>5000</v>
      </c>
      <c r="I331" t="s">
        <v>1206</v>
      </c>
      <c r="J331" t="s">
        <v>1030</v>
      </c>
      <c r="K331" t="s">
        <v>1031</v>
      </c>
    </row>
    <row r="332" spans="1:11" x14ac:dyDescent="0.25">
      <c r="A332" t="s">
        <v>331</v>
      </c>
      <c r="B332" s="1">
        <v>45650</v>
      </c>
      <c r="C332">
        <v>2024</v>
      </c>
      <c r="D332" t="s">
        <v>1228</v>
      </c>
      <c r="E332" t="s">
        <v>1210</v>
      </c>
      <c r="F332" t="s">
        <v>1102</v>
      </c>
      <c r="G332" t="s">
        <v>1011</v>
      </c>
      <c r="H332" s="2">
        <v>25000</v>
      </c>
      <c r="I332" t="s">
        <v>1206</v>
      </c>
      <c r="J332" t="s">
        <v>1030</v>
      </c>
      <c r="K332" t="s">
        <v>1031</v>
      </c>
    </row>
    <row r="333" spans="1:11" x14ac:dyDescent="0.25">
      <c r="A333" t="s">
        <v>332</v>
      </c>
      <c r="B333" s="1">
        <v>45653</v>
      </c>
      <c r="C333">
        <v>2024</v>
      </c>
      <c r="D333" t="s">
        <v>1228</v>
      </c>
      <c r="E333" t="s">
        <v>1210</v>
      </c>
      <c r="F333" t="s">
        <v>1119</v>
      </c>
      <c r="G333" t="s">
        <v>1011</v>
      </c>
      <c r="H333" s="2">
        <v>27000</v>
      </c>
      <c r="I333" t="s">
        <v>1206</v>
      </c>
      <c r="J333" t="s">
        <v>1030</v>
      </c>
      <c r="K333" t="s">
        <v>1031</v>
      </c>
    </row>
    <row r="334" spans="1:11" x14ac:dyDescent="0.25">
      <c r="A334" t="s">
        <v>333</v>
      </c>
      <c r="B334" s="1">
        <v>45656</v>
      </c>
      <c r="C334">
        <v>2024</v>
      </c>
      <c r="D334" t="s">
        <v>1228</v>
      </c>
      <c r="E334" t="s">
        <v>1213</v>
      </c>
      <c r="F334" t="s">
        <v>1056</v>
      </c>
      <c r="G334" t="s">
        <v>1198</v>
      </c>
      <c r="H334" s="2">
        <v>5500</v>
      </c>
      <c r="I334" t="s">
        <v>1206</v>
      </c>
      <c r="J334" t="s">
        <v>1030</v>
      </c>
      <c r="K334" t="s">
        <v>1031</v>
      </c>
    </row>
    <row r="335" spans="1:11" x14ac:dyDescent="0.25">
      <c r="A335" t="s">
        <v>334</v>
      </c>
      <c r="B335" s="1">
        <v>45629</v>
      </c>
      <c r="C335">
        <v>2024</v>
      </c>
      <c r="D335" t="s">
        <v>1228</v>
      </c>
      <c r="E335" t="s">
        <v>1205</v>
      </c>
      <c r="F335" t="s">
        <v>1018</v>
      </c>
      <c r="G335" t="s">
        <v>1013</v>
      </c>
      <c r="H335" s="2">
        <v>3000</v>
      </c>
      <c r="I335" t="s">
        <v>1206</v>
      </c>
      <c r="J335" t="s">
        <v>1030</v>
      </c>
      <c r="K335" t="s">
        <v>1031</v>
      </c>
    </row>
    <row r="336" spans="1:11" x14ac:dyDescent="0.25">
      <c r="A336" t="s">
        <v>335</v>
      </c>
      <c r="B336" s="1">
        <v>45659</v>
      </c>
      <c r="C336">
        <v>2025</v>
      </c>
      <c r="D336" t="s">
        <v>1204</v>
      </c>
      <c r="E336" t="s">
        <v>1205</v>
      </c>
      <c r="F336" t="s">
        <v>1018</v>
      </c>
      <c r="G336" t="s">
        <v>1013</v>
      </c>
      <c r="H336" s="2">
        <v>5000</v>
      </c>
      <c r="I336" t="s">
        <v>1206</v>
      </c>
      <c r="J336" t="s">
        <v>1030</v>
      </c>
      <c r="K336" t="s">
        <v>1031</v>
      </c>
    </row>
    <row r="337" spans="1:11" x14ac:dyDescent="0.25">
      <c r="A337" t="s">
        <v>336</v>
      </c>
      <c r="B337" s="1">
        <v>45660</v>
      </c>
      <c r="C337">
        <v>2025</v>
      </c>
      <c r="D337" t="s">
        <v>1204</v>
      </c>
      <c r="E337" t="s">
        <v>1205</v>
      </c>
      <c r="F337" t="s">
        <v>1049</v>
      </c>
      <c r="G337" t="s">
        <v>1199</v>
      </c>
      <c r="H337" s="2">
        <v>20000</v>
      </c>
      <c r="I337" t="s">
        <v>1206</v>
      </c>
      <c r="J337" t="s">
        <v>1030</v>
      </c>
      <c r="K337" t="s">
        <v>1031</v>
      </c>
    </row>
    <row r="338" spans="1:11" x14ac:dyDescent="0.25">
      <c r="A338" t="s">
        <v>337</v>
      </c>
      <c r="B338" s="1">
        <v>45663</v>
      </c>
      <c r="C338">
        <v>2025</v>
      </c>
      <c r="D338" t="s">
        <v>1204</v>
      </c>
      <c r="E338" t="s">
        <v>1205</v>
      </c>
      <c r="F338" t="s">
        <v>1035</v>
      </c>
      <c r="G338" t="s">
        <v>1197</v>
      </c>
      <c r="H338" s="2">
        <v>13000</v>
      </c>
      <c r="I338" t="s">
        <v>1206</v>
      </c>
      <c r="J338" t="s">
        <v>1030</v>
      </c>
      <c r="K338" t="s">
        <v>1031</v>
      </c>
    </row>
    <row r="339" spans="1:11" x14ac:dyDescent="0.25">
      <c r="A339" t="s">
        <v>338</v>
      </c>
      <c r="B339" s="1">
        <v>45663</v>
      </c>
      <c r="C339">
        <v>2025</v>
      </c>
      <c r="D339" t="s">
        <v>1204</v>
      </c>
      <c r="E339" t="s">
        <v>1205</v>
      </c>
      <c r="F339" t="s">
        <v>1037</v>
      </c>
      <c r="G339" t="s">
        <v>1199</v>
      </c>
      <c r="H339" s="2">
        <v>20000</v>
      </c>
      <c r="I339" t="s">
        <v>1206</v>
      </c>
      <c r="J339" t="s">
        <v>1030</v>
      </c>
      <c r="K339" t="s">
        <v>1031</v>
      </c>
    </row>
    <row r="340" spans="1:11" x14ac:dyDescent="0.25">
      <c r="A340" t="s">
        <v>339</v>
      </c>
      <c r="B340" s="1">
        <v>45663</v>
      </c>
      <c r="C340">
        <v>2025</v>
      </c>
      <c r="D340" t="s">
        <v>1204</v>
      </c>
      <c r="E340" t="s">
        <v>1205</v>
      </c>
      <c r="F340" t="s">
        <v>1120</v>
      </c>
      <c r="G340" t="s">
        <v>1014</v>
      </c>
      <c r="H340" s="2">
        <v>3000</v>
      </c>
      <c r="I340" t="s">
        <v>1206</v>
      </c>
      <c r="J340" t="s">
        <v>1030</v>
      </c>
      <c r="K340" t="s">
        <v>1031</v>
      </c>
    </row>
    <row r="341" spans="1:11" x14ac:dyDescent="0.25">
      <c r="A341" t="s">
        <v>340</v>
      </c>
      <c r="B341" s="1">
        <v>45665</v>
      </c>
      <c r="C341">
        <v>2025</v>
      </c>
      <c r="D341" t="s">
        <v>1204</v>
      </c>
      <c r="E341" t="s">
        <v>1207</v>
      </c>
      <c r="F341" t="s">
        <v>1033</v>
      </c>
      <c r="G341" t="s">
        <v>1014</v>
      </c>
      <c r="H341" s="2">
        <v>108930</v>
      </c>
      <c r="I341" t="s">
        <v>1211</v>
      </c>
      <c r="J341" t="s">
        <v>1030</v>
      </c>
      <c r="K341" t="s">
        <v>1031</v>
      </c>
    </row>
    <row r="342" spans="1:11" x14ac:dyDescent="0.25">
      <c r="A342" t="s">
        <v>341</v>
      </c>
      <c r="B342" s="1">
        <v>45659</v>
      </c>
      <c r="C342">
        <v>2025</v>
      </c>
      <c r="D342" t="s">
        <v>1204</v>
      </c>
      <c r="E342" t="s">
        <v>1205</v>
      </c>
      <c r="F342" t="s">
        <v>1102</v>
      </c>
      <c r="G342" t="s">
        <v>1011</v>
      </c>
      <c r="H342" s="2">
        <v>23000</v>
      </c>
      <c r="I342" t="s">
        <v>1206</v>
      </c>
      <c r="J342" t="s">
        <v>1030</v>
      </c>
      <c r="K342" t="s">
        <v>1031</v>
      </c>
    </row>
    <row r="343" spans="1:11" x14ac:dyDescent="0.25">
      <c r="A343" t="s">
        <v>342</v>
      </c>
      <c r="B343" s="1">
        <v>45670</v>
      </c>
      <c r="C343">
        <v>2025</v>
      </c>
      <c r="D343" t="s">
        <v>1204</v>
      </c>
      <c r="E343" t="s">
        <v>1207</v>
      </c>
      <c r="F343" t="s">
        <v>1121</v>
      </c>
      <c r="G343" t="s">
        <v>1010</v>
      </c>
      <c r="H343" s="2">
        <v>16000</v>
      </c>
      <c r="I343" t="s">
        <v>1211</v>
      </c>
      <c r="J343" t="s">
        <v>1030</v>
      </c>
      <c r="K343" t="s">
        <v>1031</v>
      </c>
    </row>
    <row r="344" spans="1:11" x14ac:dyDescent="0.25">
      <c r="A344" t="s">
        <v>343</v>
      </c>
      <c r="B344" s="1">
        <v>45670</v>
      </c>
      <c r="C344">
        <v>2025</v>
      </c>
      <c r="D344" t="s">
        <v>1204</v>
      </c>
      <c r="E344" t="s">
        <v>1207</v>
      </c>
      <c r="F344" t="s">
        <v>1035</v>
      </c>
      <c r="G344" t="s">
        <v>1197</v>
      </c>
      <c r="H344" s="2">
        <v>13000</v>
      </c>
      <c r="I344" t="s">
        <v>1206</v>
      </c>
      <c r="J344" t="s">
        <v>1030</v>
      </c>
      <c r="K344" t="s">
        <v>1031</v>
      </c>
    </row>
    <row r="345" spans="1:11" x14ac:dyDescent="0.25">
      <c r="A345" t="s">
        <v>344</v>
      </c>
      <c r="B345" s="1">
        <v>45670</v>
      </c>
      <c r="C345">
        <v>2025</v>
      </c>
      <c r="D345" t="s">
        <v>1204</v>
      </c>
      <c r="E345" t="s">
        <v>1207</v>
      </c>
      <c r="F345" t="s">
        <v>1040</v>
      </c>
      <c r="G345" t="s">
        <v>1199</v>
      </c>
      <c r="H345" s="2">
        <v>20000</v>
      </c>
      <c r="I345" t="s">
        <v>1206</v>
      </c>
      <c r="J345" t="s">
        <v>1030</v>
      </c>
      <c r="K345" t="s">
        <v>1031</v>
      </c>
    </row>
    <row r="346" spans="1:11" x14ac:dyDescent="0.25">
      <c r="A346" t="s">
        <v>345</v>
      </c>
      <c r="B346" s="1">
        <v>45671</v>
      </c>
      <c r="C346">
        <v>2025</v>
      </c>
      <c r="D346" t="s">
        <v>1204</v>
      </c>
      <c r="E346" t="s">
        <v>1207</v>
      </c>
      <c r="F346" t="s">
        <v>1035</v>
      </c>
      <c r="G346" t="s">
        <v>1197</v>
      </c>
      <c r="H346" s="2">
        <v>7500</v>
      </c>
      <c r="I346" t="s">
        <v>1212</v>
      </c>
      <c r="J346" t="s">
        <v>1030</v>
      </c>
      <c r="K346" t="s">
        <v>1031</v>
      </c>
    </row>
    <row r="347" spans="1:11" x14ac:dyDescent="0.25">
      <c r="A347" t="s">
        <v>346</v>
      </c>
      <c r="B347" s="1">
        <v>45671</v>
      </c>
      <c r="C347">
        <v>2025</v>
      </c>
      <c r="D347" t="s">
        <v>1204</v>
      </c>
      <c r="E347" t="s">
        <v>1207</v>
      </c>
      <c r="F347" t="s">
        <v>1122</v>
      </c>
      <c r="G347" t="s">
        <v>1010</v>
      </c>
      <c r="H347" s="2">
        <v>8000</v>
      </c>
      <c r="I347" t="s">
        <v>1206</v>
      </c>
      <c r="J347" t="s">
        <v>1030</v>
      </c>
      <c r="K347" t="s">
        <v>1031</v>
      </c>
    </row>
    <row r="348" spans="1:11" x14ac:dyDescent="0.25">
      <c r="A348" t="s">
        <v>347</v>
      </c>
      <c r="B348" s="1">
        <v>45672</v>
      </c>
      <c r="C348">
        <v>2025</v>
      </c>
      <c r="D348" t="s">
        <v>1204</v>
      </c>
      <c r="E348" t="s">
        <v>1208</v>
      </c>
      <c r="F348" t="s">
        <v>1025</v>
      </c>
      <c r="G348" t="s">
        <v>1014</v>
      </c>
      <c r="H348" s="2">
        <v>5000</v>
      </c>
      <c r="I348" t="s">
        <v>1206</v>
      </c>
      <c r="J348" t="s">
        <v>1030</v>
      </c>
      <c r="K348" t="s">
        <v>1031</v>
      </c>
    </row>
    <row r="349" spans="1:11" x14ac:dyDescent="0.25">
      <c r="A349" t="s">
        <v>348</v>
      </c>
      <c r="B349" s="1">
        <v>45671</v>
      </c>
      <c r="C349">
        <v>2025</v>
      </c>
      <c r="D349" t="s">
        <v>1204</v>
      </c>
      <c r="E349" t="s">
        <v>1207</v>
      </c>
      <c r="F349" t="s">
        <v>1018</v>
      </c>
      <c r="G349" t="s">
        <v>1013</v>
      </c>
      <c r="H349" s="2">
        <v>3000</v>
      </c>
      <c r="I349" t="s">
        <v>1206</v>
      </c>
      <c r="J349" t="s">
        <v>1030</v>
      </c>
      <c r="K349" t="s">
        <v>1031</v>
      </c>
    </row>
    <row r="350" spans="1:11" x14ac:dyDescent="0.25">
      <c r="A350" t="s">
        <v>349</v>
      </c>
      <c r="B350" s="1">
        <v>45677</v>
      </c>
      <c r="C350">
        <v>2025</v>
      </c>
      <c r="D350" t="s">
        <v>1204</v>
      </c>
      <c r="E350" t="s">
        <v>1208</v>
      </c>
      <c r="F350" t="s">
        <v>1035</v>
      </c>
      <c r="G350" t="s">
        <v>1197</v>
      </c>
      <c r="H350" s="2">
        <v>13000</v>
      </c>
      <c r="I350" t="s">
        <v>1206</v>
      </c>
      <c r="J350" t="s">
        <v>1030</v>
      </c>
      <c r="K350" t="s">
        <v>1031</v>
      </c>
    </row>
    <row r="351" spans="1:11" x14ac:dyDescent="0.25">
      <c r="A351" t="s">
        <v>350</v>
      </c>
      <c r="B351" s="1">
        <v>45677</v>
      </c>
      <c r="C351">
        <v>2025</v>
      </c>
      <c r="D351" t="s">
        <v>1204</v>
      </c>
      <c r="E351" t="s">
        <v>1208</v>
      </c>
      <c r="F351" t="s">
        <v>1070</v>
      </c>
      <c r="G351" t="s">
        <v>1010</v>
      </c>
      <c r="H351" s="2">
        <v>6000</v>
      </c>
      <c r="I351" t="s">
        <v>1206</v>
      </c>
      <c r="J351" t="s">
        <v>1030</v>
      </c>
      <c r="K351" t="s">
        <v>1031</v>
      </c>
    </row>
    <row r="352" spans="1:11" x14ac:dyDescent="0.25">
      <c r="A352" t="s">
        <v>351</v>
      </c>
      <c r="B352" s="1">
        <v>45677</v>
      </c>
      <c r="C352">
        <v>2025</v>
      </c>
      <c r="D352" t="s">
        <v>1204</v>
      </c>
      <c r="E352" t="s">
        <v>1208</v>
      </c>
      <c r="F352" t="s">
        <v>1094</v>
      </c>
      <c r="G352" t="s">
        <v>1198</v>
      </c>
      <c r="H352" s="2">
        <v>3000</v>
      </c>
      <c r="I352" t="s">
        <v>1212</v>
      </c>
      <c r="J352" t="s">
        <v>1030</v>
      </c>
      <c r="K352" t="s">
        <v>1031</v>
      </c>
    </row>
    <row r="353" spans="1:11" x14ac:dyDescent="0.25">
      <c r="A353" t="s">
        <v>352</v>
      </c>
      <c r="B353" s="1">
        <v>45678</v>
      </c>
      <c r="C353">
        <v>2025</v>
      </c>
      <c r="D353" t="s">
        <v>1204</v>
      </c>
      <c r="E353" t="s">
        <v>1208</v>
      </c>
      <c r="F353" t="s">
        <v>1018</v>
      </c>
      <c r="G353" t="s">
        <v>1013</v>
      </c>
      <c r="H353" s="2">
        <v>4000</v>
      </c>
      <c r="I353" t="s">
        <v>1206</v>
      </c>
      <c r="J353" t="s">
        <v>1030</v>
      </c>
      <c r="K353" t="s">
        <v>1031</v>
      </c>
    </row>
    <row r="354" spans="1:11" x14ac:dyDescent="0.25">
      <c r="A354" t="s">
        <v>353</v>
      </c>
      <c r="B354" s="1">
        <v>45678</v>
      </c>
      <c r="C354">
        <v>2025</v>
      </c>
      <c r="D354" t="s">
        <v>1204</v>
      </c>
      <c r="E354" t="s">
        <v>1208</v>
      </c>
      <c r="F354" t="s">
        <v>1229</v>
      </c>
      <c r="G354" t="s">
        <v>1010</v>
      </c>
      <c r="H354" s="2">
        <v>3000</v>
      </c>
      <c r="I354" t="s">
        <v>1212</v>
      </c>
      <c r="J354" t="s">
        <v>1030</v>
      </c>
      <c r="K354" t="s">
        <v>1031</v>
      </c>
    </row>
    <row r="355" spans="1:11" x14ac:dyDescent="0.25">
      <c r="A355" t="s">
        <v>354</v>
      </c>
      <c r="B355" s="1">
        <v>45680</v>
      </c>
      <c r="C355">
        <v>2025</v>
      </c>
      <c r="D355" t="s">
        <v>1204</v>
      </c>
      <c r="E355" t="s">
        <v>1210</v>
      </c>
      <c r="F355" t="s">
        <v>1124</v>
      </c>
      <c r="G355" t="s">
        <v>1010</v>
      </c>
      <c r="H355" s="2">
        <v>6000</v>
      </c>
      <c r="I355" t="s">
        <v>1206</v>
      </c>
      <c r="J355" t="s">
        <v>1030</v>
      </c>
      <c r="K355" t="s">
        <v>1031</v>
      </c>
    </row>
    <row r="356" spans="1:11" x14ac:dyDescent="0.25">
      <c r="A356" t="s">
        <v>355</v>
      </c>
      <c r="B356" s="1">
        <v>45684</v>
      </c>
      <c r="C356">
        <v>2025</v>
      </c>
      <c r="D356" t="s">
        <v>1204</v>
      </c>
      <c r="E356" t="s">
        <v>1210</v>
      </c>
      <c r="F356" t="s">
        <v>1045</v>
      </c>
      <c r="G356" t="s">
        <v>1197</v>
      </c>
      <c r="H356" s="2">
        <v>64000</v>
      </c>
      <c r="I356" t="s">
        <v>1206</v>
      </c>
      <c r="J356" t="s">
        <v>1030</v>
      </c>
      <c r="K356" t="s">
        <v>1031</v>
      </c>
    </row>
    <row r="357" spans="1:11" x14ac:dyDescent="0.25">
      <c r="A357" t="s">
        <v>356</v>
      </c>
      <c r="B357" s="1">
        <v>45684</v>
      </c>
      <c r="C357">
        <v>2025</v>
      </c>
      <c r="D357" t="s">
        <v>1204</v>
      </c>
      <c r="E357" t="s">
        <v>1210</v>
      </c>
      <c r="F357" t="s">
        <v>1125</v>
      </c>
      <c r="G357" t="s">
        <v>1012</v>
      </c>
      <c r="H357" s="2">
        <v>76000</v>
      </c>
      <c r="I357" t="s">
        <v>1206</v>
      </c>
      <c r="J357" t="s">
        <v>1030</v>
      </c>
      <c r="K357" t="s">
        <v>1031</v>
      </c>
    </row>
    <row r="358" spans="1:11" x14ac:dyDescent="0.25">
      <c r="A358" t="s">
        <v>357</v>
      </c>
      <c r="B358" s="1">
        <v>45684</v>
      </c>
      <c r="C358">
        <v>2025</v>
      </c>
      <c r="D358" t="s">
        <v>1204</v>
      </c>
      <c r="E358" t="s">
        <v>1210</v>
      </c>
      <c r="F358" t="s">
        <v>1126</v>
      </c>
      <c r="G358" t="s">
        <v>1198</v>
      </c>
      <c r="H358" s="2">
        <v>10500</v>
      </c>
      <c r="I358" t="s">
        <v>1206</v>
      </c>
      <c r="J358" t="s">
        <v>1030</v>
      </c>
      <c r="K358" t="s">
        <v>1031</v>
      </c>
    </row>
    <row r="359" spans="1:11" x14ac:dyDescent="0.25">
      <c r="A359" t="s">
        <v>358</v>
      </c>
      <c r="B359" s="1">
        <v>45686</v>
      </c>
      <c r="C359">
        <v>2025</v>
      </c>
      <c r="D359" t="s">
        <v>1204</v>
      </c>
      <c r="E359" t="s">
        <v>1213</v>
      </c>
      <c r="F359" t="s">
        <v>1127</v>
      </c>
      <c r="G359" t="s">
        <v>1014</v>
      </c>
      <c r="H359" s="2">
        <v>4500</v>
      </c>
      <c r="I359" t="s">
        <v>1211</v>
      </c>
      <c r="J359" t="s">
        <v>1030</v>
      </c>
      <c r="K359" t="s">
        <v>1031</v>
      </c>
    </row>
    <row r="360" spans="1:11" x14ac:dyDescent="0.25">
      <c r="A360" t="s">
        <v>359</v>
      </c>
      <c r="B360" s="1">
        <v>45686</v>
      </c>
      <c r="C360">
        <v>2025</v>
      </c>
      <c r="D360" t="s">
        <v>1204</v>
      </c>
      <c r="E360" t="s">
        <v>1213</v>
      </c>
      <c r="F360" t="s">
        <v>1119</v>
      </c>
      <c r="G360" t="s">
        <v>1011</v>
      </c>
      <c r="H360" s="2">
        <v>26000</v>
      </c>
      <c r="I360" t="s">
        <v>1211</v>
      </c>
      <c r="J360" t="s">
        <v>1030</v>
      </c>
      <c r="K360" t="s">
        <v>1031</v>
      </c>
    </row>
    <row r="361" spans="1:11" x14ac:dyDescent="0.25">
      <c r="A361" t="s">
        <v>360</v>
      </c>
      <c r="B361" s="1">
        <v>45687</v>
      </c>
      <c r="C361">
        <v>2025</v>
      </c>
      <c r="D361" t="s">
        <v>1204</v>
      </c>
      <c r="E361" t="s">
        <v>1213</v>
      </c>
      <c r="F361" t="s">
        <v>1025</v>
      </c>
      <c r="G361" t="s">
        <v>1014</v>
      </c>
      <c r="H361" s="2">
        <v>5000</v>
      </c>
      <c r="I361" t="s">
        <v>1206</v>
      </c>
      <c r="J361" t="s">
        <v>1030</v>
      </c>
      <c r="K361" t="s">
        <v>1031</v>
      </c>
    </row>
    <row r="362" spans="1:11" x14ac:dyDescent="0.25">
      <c r="A362" t="s">
        <v>361</v>
      </c>
      <c r="B362" s="1">
        <v>45688</v>
      </c>
      <c r="C362">
        <v>2025</v>
      </c>
      <c r="D362" t="s">
        <v>1204</v>
      </c>
      <c r="E362" t="s">
        <v>1213</v>
      </c>
      <c r="F362" t="s">
        <v>1023</v>
      </c>
      <c r="G362" t="s">
        <v>1201</v>
      </c>
      <c r="H362" s="2">
        <v>10000</v>
      </c>
      <c r="I362" t="s">
        <v>1206</v>
      </c>
      <c r="J362" t="s">
        <v>1030</v>
      </c>
      <c r="K362" t="s">
        <v>1031</v>
      </c>
    </row>
    <row r="363" spans="1:11" x14ac:dyDescent="0.25">
      <c r="A363" t="s">
        <v>362</v>
      </c>
      <c r="B363" s="1">
        <v>45658</v>
      </c>
      <c r="C363">
        <v>2025</v>
      </c>
      <c r="D363" t="s">
        <v>1204</v>
      </c>
      <c r="E363" t="s">
        <v>1205</v>
      </c>
      <c r="F363" t="s">
        <v>1018</v>
      </c>
      <c r="G363" t="s">
        <v>1013</v>
      </c>
      <c r="H363" s="2">
        <v>5000</v>
      </c>
      <c r="I363" t="s">
        <v>1206</v>
      </c>
      <c r="J363" t="s">
        <v>1030</v>
      </c>
      <c r="K363" t="s">
        <v>1031</v>
      </c>
    </row>
    <row r="364" spans="1:11" x14ac:dyDescent="0.25">
      <c r="A364" t="s">
        <v>363</v>
      </c>
      <c r="B364" s="1">
        <v>45677</v>
      </c>
      <c r="C364">
        <v>2025</v>
      </c>
      <c r="D364" t="s">
        <v>1204</v>
      </c>
      <c r="E364" t="s">
        <v>1208</v>
      </c>
      <c r="F364" t="s">
        <v>1120</v>
      </c>
      <c r="G364" t="s">
        <v>1014</v>
      </c>
      <c r="H364" s="2">
        <v>3000</v>
      </c>
      <c r="I364" t="s">
        <v>1206</v>
      </c>
      <c r="J364" t="s">
        <v>1030</v>
      </c>
      <c r="K364" t="s">
        <v>1031</v>
      </c>
    </row>
    <row r="365" spans="1:11" x14ac:dyDescent="0.25">
      <c r="A365" t="s">
        <v>364</v>
      </c>
      <c r="B365" s="1">
        <v>45691</v>
      </c>
      <c r="C365">
        <v>2025</v>
      </c>
      <c r="D365" t="s">
        <v>1214</v>
      </c>
      <c r="E365" t="s">
        <v>1205</v>
      </c>
      <c r="F365" t="s">
        <v>1035</v>
      </c>
      <c r="G365" t="s">
        <v>1197</v>
      </c>
      <c r="H365" s="2">
        <v>13000</v>
      </c>
      <c r="I365" t="s">
        <v>1206</v>
      </c>
      <c r="J365" t="s">
        <v>1030</v>
      </c>
      <c r="K365" t="s">
        <v>1031</v>
      </c>
    </row>
    <row r="366" spans="1:11" x14ac:dyDescent="0.25">
      <c r="A366" t="s">
        <v>365</v>
      </c>
      <c r="B366" s="1">
        <v>45691</v>
      </c>
      <c r="C366">
        <v>2025</v>
      </c>
      <c r="D366" t="s">
        <v>1214</v>
      </c>
      <c r="E366" t="s">
        <v>1205</v>
      </c>
      <c r="F366" t="s">
        <v>1128</v>
      </c>
      <c r="G366" t="s">
        <v>1015</v>
      </c>
      <c r="H366" s="2">
        <v>5000</v>
      </c>
      <c r="I366" t="s">
        <v>1212</v>
      </c>
      <c r="J366" t="s">
        <v>1030</v>
      </c>
      <c r="K366" t="s">
        <v>1031</v>
      </c>
    </row>
    <row r="367" spans="1:11" x14ac:dyDescent="0.25">
      <c r="A367" t="s">
        <v>366</v>
      </c>
      <c r="B367" s="1">
        <v>45691</v>
      </c>
      <c r="C367">
        <v>2025</v>
      </c>
      <c r="D367" t="s">
        <v>1214</v>
      </c>
      <c r="E367" t="s">
        <v>1205</v>
      </c>
      <c r="F367" t="s">
        <v>1049</v>
      </c>
      <c r="G367" t="s">
        <v>1199</v>
      </c>
      <c r="H367" s="2">
        <v>20000</v>
      </c>
      <c r="I367" t="s">
        <v>1206</v>
      </c>
      <c r="J367" t="s">
        <v>1030</v>
      </c>
      <c r="K367" t="s">
        <v>1031</v>
      </c>
    </row>
    <row r="368" spans="1:11" x14ac:dyDescent="0.25">
      <c r="A368" t="s">
        <v>367</v>
      </c>
      <c r="B368" s="1">
        <v>45691</v>
      </c>
      <c r="C368">
        <v>2025</v>
      </c>
      <c r="D368" t="s">
        <v>1214</v>
      </c>
      <c r="E368" t="s">
        <v>1205</v>
      </c>
      <c r="F368" t="s">
        <v>1119</v>
      </c>
      <c r="G368" t="s">
        <v>1011</v>
      </c>
      <c r="H368" s="2">
        <v>25000</v>
      </c>
      <c r="I368" t="s">
        <v>1206</v>
      </c>
      <c r="J368" t="s">
        <v>1030</v>
      </c>
      <c r="K368" t="s">
        <v>1031</v>
      </c>
    </row>
    <row r="369" spans="1:11" x14ac:dyDescent="0.25">
      <c r="A369" t="s">
        <v>368</v>
      </c>
      <c r="B369" s="1">
        <v>45691</v>
      </c>
      <c r="C369">
        <v>2025</v>
      </c>
      <c r="D369" t="s">
        <v>1214</v>
      </c>
      <c r="E369" t="s">
        <v>1205</v>
      </c>
      <c r="F369" t="s">
        <v>1037</v>
      </c>
      <c r="G369" t="s">
        <v>1199</v>
      </c>
      <c r="H369" s="2">
        <v>20000</v>
      </c>
      <c r="I369" t="s">
        <v>1206</v>
      </c>
      <c r="J369" t="s">
        <v>1030</v>
      </c>
      <c r="K369" t="s">
        <v>1031</v>
      </c>
    </row>
    <row r="370" spans="1:11" x14ac:dyDescent="0.25">
      <c r="A370" t="s">
        <v>369</v>
      </c>
      <c r="B370" s="1">
        <v>45691</v>
      </c>
      <c r="C370">
        <v>2025</v>
      </c>
      <c r="D370" t="s">
        <v>1214</v>
      </c>
      <c r="E370" t="s">
        <v>1205</v>
      </c>
      <c r="F370" t="s">
        <v>1098</v>
      </c>
      <c r="G370" t="s">
        <v>1015</v>
      </c>
      <c r="H370" s="2">
        <v>3000</v>
      </c>
      <c r="I370" t="s">
        <v>1206</v>
      </c>
      <c r="J370" t="s">
        <v>1030</v>
      </c>
      <c r="K370" t="s">
        <v>1031</v>
      </c>
    </row>
    <row r="371" spans="1:11" x14ac:dyDescent="0.25">
      <c r="A371" t="s">
        <v>370</v>
      </c>
      <c r="B371" s="1">
        <v>45692</v>
      </c>
      <c r="C371">
        <v>2025</v>
      </c>
      <c r="D371" t="s">
        <v>1214</v>
      </c>
      <c r="E371" t="s">
        <v>1205</v>
      </c>
      <c r="F371" t="s">
        <v>1033</v>
      </c>
      <c r="G371" t="s">
        <v>1014</v>
      </c>
      <c r="H371" s="2">
        <v>101600</v>
      </c>
      <c r="I371" t="s">
        <v>1211</v>
      </c>
      <c r="J371" t="s">
        <v>1030</v>
      </c>
      <c r="K371" t="s">
        <v>1031</v>
      </c>
    </row>
    <row r="372" spans="1:11" x14ac:dyDescent="0.25">
      <c r="A372" t="s">
        <v>371</v>
      </c>
      <c r="B372" s="1">
        <v>45693</v>
      </c>
      <c r="C372">
        <v>2025</v>
      </c>
      <c r="D372" t="s">
        <v>1214</v>
      </c>
      <c r="E372" t="s">
        <v>1205</v>
      </c>
      <c r="F372" t="s">
        <v>1130</v>
      </c>
      <c r="G372" t="s">
        <v>1198</v>
      </c>
      <c r="H372" s="2">
        <v>4000</v>
      </c>
      <c r="I372" t="s">
        <v>1212</v>
      </c>
      <c r="J372" t="s">
        <v>1030</v>
      </c>
      <c r="K372" t="s">
        <v>1031</v>
      </c>
    </row>
    <row r="373" spans="1:11" x14ac:dyDescent="0.25">
      <c r="A373" t="s">
        <v>372</v>
      </c>
      <c r="B373" s="1">
        <v>45705</v>
      </c>
      <c r="C373">
        <v>2025</v>
      </c>
      <c r="D373" t="s">
        <v>1214</v>
      </c>
      <c r="E373" t="s">
        <v>1208</v>
      </c>
      <c r="F373" t="s">
        <v>1131</v>
      </c>
      <c r="G373" t="s">
        <v>1012</v>
      </c>
      <c r="H373" s="2">
        <v>3000</v>
      </c>
      <c r="I373" t="s">
        <v>1212</v>
      </c>
      <c r="J373" t="s">
        <v>1030</v>
      </c>
      <c r="K373" t="s">
        <v>1031</v>
      </c>
    </row>
    <row r="374" spans="1:11" x14ac:dyDescent="0.25">
      <c r="A374" t="s">
        <v>373</v>
      </c>
      <c r="B374" s="1">
        <v>45705</v>
      </c>
      <c r="C374">
        <v>2025</v>
      </c>
      <c r="D374" t="s">
        <v>1214</v>
      </c>
      <c r="E374" t="s">
        <v>1208</v>
      </c>
      <c r="F374" t="s">
        <v>1035</v>
      </c>
      <c r="G374" t="s">
        <v>1197</v>
      </c>
      <c r="H374" s="2">
        <v>13000</v>
      </c>
      <c r="I374" t="s">
        <v>1206</v>
      </c>
      <c r="J374" t="s">
        <v>1030</v>
      </c>
      <c r="K374" t="s">
        <v>1031</v>
      </c>
    </row>
    <row r="375" spans="1:11" x14ac:dyDescent="0.25">
      <c r="A375" t="s">
        <v>374</v>
      </c>
      <c r="B375" s="1">
        <v>45705</v>
      </c>
      <c r="C375">
        <v>2025</v>
      </c>
      <c r="D375" t="s">
        <v>1214</v>
      </c>
      <c r="E375" t="s">
        <v>1208</v>
      </c>
      <c r="F375" t="s">
        <v>1018</v>
      </c>
      <c r="G375" t="s">
        <v>1013</v>
      </c>
      <c r="H375" s="2">
        <v>3000</v>
      </c>
      <c r="I375" t="s">
        <v>1206</v>
      </c>
      <c r="J375" t="s">
        <v>1030</v>
      </c>
      <c r="K375" t="s">
        <v>1031</v>
      </c>
    </row>
    <row r="376" spans="1:11" x14ac:dyDescent="0.25">
      <c r="A376" t="s">
        <v>375</v>
      </c>
      <c r="B376" s="1">
        <v>45707</v>
      </c>
      <c r="C376">
        <v>2025</v>
      </c>
      <c r="D376" t="s">
        <v>1214</v>
      </c>
      <c r="E376" t="s">
        <v>1208</v>
      </c>
      <c r="F376" t="s">
        <v>1132</v>
      </c>
      <c r="G376" t="s">
        <v>1012</v>
      </c>
      <c r="H376" s="2">
        <v>5000</v>
      </c>
      <c r="I376" t="s">
        <v>1206</v>
      </c>
      <c r="J376" t="s">
        <v>1030</v>
      </c>
      <c r="K376" t="s">
        <v>1031</v>
      </c>
    </row>
    <row r="377" spans="1:11" x14ac:dyDescent="0.25">
      <c r="A377" t="s">
        <v>376</v>
      </c>
      <c r="B377" s="1">
        <v>45707</v>
      </c>
      <c r="C377">
        <v>2025</v>
      </c>
      <c r="D377" t="s">
        <v>1214</v>
      </c>
      <c r="E377" t="s">
        <v>1208</v>
      </c>
      <c r="F377" t="s">
        <v>1102</v>
      </c>
      <c r="G377" t="s">
        <v>1011</v>
      </c>
      <c r="H377" s="2">
        <v>25000</v>
      </c>
      <c r="I377" t="s">
        <v>1206</v>
      </c>
      <c r="J377" t="s">
        <v>1030</v>
      </c>
      <c r="K377" t="s">
        <v>1031</v>
      </c>
    </row>
    <row r="378" spans="1:11" x14ac:dyDescent="0.25">
      <c r="A378" t="s">
        <v>377</v>
      </c>
      <c r="B378" s="1">
        <v>45708</v>
      </c>
      <c r="C378">
        <v>2025</v>
      </c>
      <c r="D378" t="s">
        <v>1214</v>
      </c>
      <c r="E378" t="s">
        <v>1208</v>
      </c>
      <c r="F378" t="s">
        <v>1102</v>
      </c>
      <c r="G378" t="s">
        <v>1011</v>
      </c>
      <c r="H378" s="2">
        <v>27000</v>
      </c>
      <c r="I378" t="s">
        <v>1206</v>
      </c>
      <c r="J378" t="s">
        <v>1030</v>
      </c>
      <c r="K378" t="s">
        <v>1031</v>
      </c>
    </row>
    <row r="379" spans="1:11" x14ac:dyDescent="0.25">
      <c r="A379" t="s">
        <v>378</v>
      </c>
      <c r="B379" s="1">
        <v>45712</v>
      </c>
      <c r="C379">
        <v>2025</v>
      </c>
      <c r="D379" t="s">
        <v>1214</v>
      </c>
      <c r="E379" t="s">
        <v>1210</v>
      </c>
      <c r="F379" t="s">
        <v>1133</v>
      </c>
      <c r="G379" t="s">
        <v>1010</v>
      </c>
      <c r="H379" s="2">
        <v>15000</v>
      </c>
      <c r="I379" t="s">
        <v>1211</v>
      </c>
      <c r="J379" t="s">
        <v>1030</v>
      </c>
      <c r="K379" t="s">
        <v>1031</v>
      </c>
    </row>
    <row r="380" spans="1:11" x14ac:dyDescent="0.25">
      <c r="A380" t="s">
        <v>379</v>
      </c>
      <c r="B380" s="1">
        <v>45698</v>
      </c>
      <c r="C380">
        <v>2025</v>
      </c>
      <c r="D380" t="s">
        <v>1214</v>
      </c>
      <c r="E380" t="s">
        <v>1207</v>
      </c>
      <c r="F380" t="s">
        <v>1035</v>
      </c>
      <c r="G380" t="s">
        <v>1197</v>
      </c>
      <c r="H380" s="2">
        <v>13000</v>
      </c>
      <c r="I380" t="s">
        <v>1206</v>
      </c>
      <c r="J380" t="s">
        <v>1030</v>
      </c>
      <c r="K380" t="s">
        <v>1031</v>
      </c>
    </row>
    <row r="381" spans="1:11" x14ac:dyDescent="0.25">
      <c r="A381" t="s">
        <v>380</v>
      </c>
      <c r="B381" s="1">
        <v>45700</v>
      </c>
      <c r="C381">
        <v>2025</v>
      </c>
      <c r="D381" t="s">
        <v>1214</v>
      </c>
      <c r="E381" t="s">
        <v>1207</v>
      </c>
      <c r="F381" t="s">
        <v>1106</v>
      </c>
      <c r="G381" t="s">
        <v>1010</v>
      </c>
      <c r="H381" s="2">
        <v>6000</v>
      </c>
      <c r="I381" t="s">
        <v>1206</v>
      </c>
      <c r="J381" t="s">
        <v>1030</v>
      </c>
      <c r="K381" t="s">
        <v>1031</v>
      </c>
    </row>
    <row r="382" spans="1:11" x14ac:dyDescent="0.25">
      <c r="A382" t="s">
        <v>381</v>
      </c>
      <c r="B382" s="1">
        <v>45702</v>
      </c>
      <c r="C382">
        <v>2025</v>
      </c>
      <c r="D382" t="s">
        <v>1214</v>
      </c>
      <c r="E382" t="s">
        <v>1207</v>
      </c>
      <c r="F382" t="s">
        <v>1230</v>
      </c>
      <c r="G382" t="s">
        <v>1012</v>
      </c>
      <c r="H382" s="2">
        <v>32000</v>
      </c>
      <c r="I382" t="s">
        <v>1206</v>
      </c>
      <c r="J382" t="s">
        <v>1030</v>
      </c>
      <c r="K382" t="s">
        <v>1031</v>
      </c>
    </row>
    <row r="383" spans="1:11" x14ac:dyDescent="0.25">
      <c r="A383" t="s">
        <v>382</v>
      </c>
      <c r="B383" s="1">
        <v>45701</v>
      </c>
      <c r="C383">
        <v>2025</v>
      </c>
      <c r="D383" t="s">
        <v>1214</v>
      </c>
      <c r="E383" t="s">
        <v>1207</v>
      </c>
      <c r="F383" t="s">
        <v>1120</v>
      </c>
      <c r="G383" t="s">
        <v>1014</v>
      </c>
      <c r="H383" s="2">
        <v>4500</v>
      </c>
      <c r="I383" t="s">
        <v>1211</v>
      </c>
      <c r="J383" t="s">
        <v>1030</v>
      </c>
      <c r="K383" t="s">
        <v>1031</v>
      </c>
    </row>
    <row r="384" spans="1:11" x14ac:dyDescent="0.25">
      <c r="A384" t="s">
        <v>383</v>
      </c>
      <c r="B384" s="1">
        <v>45705</v>
      </c>
      <c r="C384">
        <v>2025</v>
      </c>
      <c r="D384" t="s">
        <v>1214</v>
      </c>
      <c r="E384" t="s">
        <v>1208</v>
      </c>
      <c r="F384" t="s">
        <v>1102</v>
      </c>
      <c r="G384" t="s">
        <v>1011</v>
      </c>
      <c r="H384" s="2">
        <v>27000</v>
      </c>
      <c r="I384" t="s">
        <v>1206</v>
      </c>
      <c r="J384" t="s">
        <v>1030</v>
      </c>
      <c r="K384" t="s">
        <v>1031</v>
      </c>
    </row>
    <row r="385" spans="1:11" x14ac:dyDescent="0.25">
      <c r="A385" t="s">
        <v>384</v>
      </c>
      <c r="B385" s="1">
        <v>45698</v>
      </c>
      <c r="C385">
        <v>2025</v>
      </c>
      <c r="D385" t="s">
        <v>1214</v>
      </c>
      <c r="E385" t="s">
        <v>1207</v>
      </c>
      <c r="F385" t="s">
        <v>1025</v>
      </c>
      <c r="G385" t="s">
        <v>1014</v>
      </c>
      <c r="H385" s="2">
        <v>5000</v>
      </c>
      <c r="I385" t="s">
        <v>1206</v>
      </c>
      <c r="J385" t="s">
        <v>1030</v>
      </c>
      <c r="K385" t="s">
        <v>1031</v>
      </c>
    </row>
    <row r="386" spans="1:11" x14ac:dyDescent="0.25">
      <c r="A386" t="s">
        <v>385</v>
      </c>
      <c r="B386" s="1">
        <v>45708</v>
      </c>
      <c r="C386">
        <v>2025</v>
      </c>
      <c r="D386" t="s">
        <v>1214</v>
      </c>
      <c r="E386" t="s">
        <v>1208</v>
      </c>
      <c r="F386" t="s">
        <v>1040</v>
      </c>
      <c r="G386" t="s">
        <v>1199</v>
      </c>
      <c r="H386" s="2">
        <v>20000</v>
      </c>
      <c r="I386" t="s">
        <v>1206</v>
      </c>
      <c r="J386" t="s">
        <v>1030</v>
      </c>
      <c r="K386" t="s">
        <v>1031</v>
      </c>
    </row>
    <row r="387" spans="1:11" x14ac:dyDescent="0.25">
      <c r="A387" t="s">
        <v>386</v>
      </c>
      <c r="B387" s="1">
        <v>45712</v>
      </c>
      <c r="C387">
        <v>2025</v>
      </c>
      <c r="D387" t="s">
        <v>1214</v>
      </c>
      <c r="E387" t="s">
        <v>1210</v>
      </c>
      <c r="F387" t="s">
        <v>1035</v>
      </c>
      <c r="G387" t="s">
        <v>1197</v>
      </c>
      <c r="H387" s="2">
        <v>13000</v>
      </c>
      <c r="I387" t="s">
        <v>1206</v>
      </c>
      <c r="J387" t="s">
        <v>1030</v>
      </c>
      <c r="K387" t="s">
        <v>1031</v>
      </c>
    </row>
    <row r="388" spans="1:11" x14ac:dyDescent="0.25">
      <c r="A388" t="s">
        <v>387</v>
      </c>
      <c r="B388" s="1">
        <v>45713</v>
      </c>
      <c r="C388">
        <v>2025</v>
      </c>
      <c r="D388" t="s">
        <v>1214</v>
      </c>
      <c r="E388" t="s">
        <v>1210</v>
      </c>
      <c r="F388" t="s">
        <v>1099</v>
      </c>
      <c r="G388" t="s">
        <v>1198</v>
      </c>
      <c r="H388" s="2">
        <v>25000</v>
      </c>
      <c r="I388" t="s">
        <v>1206</v>
      </c>
      <c r="J388" t="s">
        <v>1030</v>
      </c>
      <c r="K388" t="s">
        <v>1031</v>
      </c>
    </row>
    <row r="389" spans="1:11" x14ac:dyDescent="0.25">
      <c r="A389" t="s">
        <v>388</v>
      </c>
      <c r="B389" s="1">
        <v>45713</v>
      </c>
      <c r="C389">
        <v>2025</v>
      </c>
      <c r="D389" t="s">
        <v>1214</v>
      </c>
      <c r="E389" t="s">
        <v>1210</v>
      </c>
      <c r="F389" t="s">
        <v>1021</v>
      </c>
      <c r="G389" t="s">
        <v>1010</v>
      </c>
      <c r="H389" s="2">
        <v>2500</v>
      </c>
      <c r="I389" t="s">
        <v>1212</v>
      </c>
      <c r="J389" t="s">
        <v>1030</v>
      </c>
      <c r="K389" t="s">
        <v>1031</v>
      </c>
    </row>
    <row r="390" spans="1:11" x14ac:dyDescent="0.25">
      <c r="A390" t="s">
        <v>389</v>
      </c>
      <c r="B390" s="1">
        <v>45714</v>
      </c>
      <c r="C390">
        <v>2025</v>
      </c>
      <c r="D390" t="s">
        <v>1214</v>
      </c>
      <c r="E390" t="s">
        <v>1210</v>
      </c>
      <c r="F390" t="s">
        <v>1135</v>
      </c>
      <c r="G390" t="s">
        <v>1010</v>
      </c>
      <c r="H390" s="2">
        <v>2500</v>
      </c>
      <c r="I390" t="s">
        <v>1212</v>
      </c>
      <c r="J390" t="s">
        <v>1030</v>
      </c>
      <c r="K390" t="s">
        <v>1031</v>
      </c>
    </row>
    <row r="391" spans="1:11" x14ac:dyDescent="0.25">
      <c r="A391" t="s">
        <v>390</v>
      </c>
      <c r="B391" s="1">
        <v>45715</v>
      </c>
      <c r="C391">
        <v>2025</v>
      </c>
      <c r="D391" t="s">
        <v>1214</v>
      </c>
      <c r="E391" t="s">
        <v>1210</v>
      </c>
      <c r="F391" t="s">
        <v>1025</v>
      </c>
      <c r="G391" t="s">
        <v>1014</v>
      </c>
      <c r="H391" s="2">
        <v>5000</v>
      </c>
      <c r="I391" t="s">
        <v>1206</v>
      </c>
      <c r="J391" t="s">
        <v>1030</v>
      </c>
      <c r="K391" t="s">
        <v>1031</v>
      </c>
    </row>
    <row r="392" spans="1:11" x14ac:dyDescent="0.25">
      <c r="A392" t="s">
        <v>391</v>
      </c>
      <c r="B392" s="1">
        <v>45715</v>
      </c>
      <c r="C392">
        <v>2025</v>
      </c>
      <c r="D392" t="s">
        <v>1214</v>
      </c>
      <c r="E392" t="s">
        <v>1210</v>
      </c>
      <c r="F392" t="s">
        <v>1120</v>
      </c>
      <c r="G392" t="s">
        <v>1014</v>
      </c>
      <c r="H392" s="2">
        <v>4500</v>
      </c>
      <c r="I392" t="s">
        <v>1212</v>
      </c>
      <c r="J392" t="s">
        <v>1030</v>
      </c>
      <c r="K392" t="s">
        <v>1031</v>
      </c>
    </row>
    <row r="393" spans="1:11" x14ac:dyDescent="0.25">
      <c r="A393" t="s">
        <v>392</v>
      </c>
      <c r="B393" s="1">
        <v>45715</v>
      </c>
      <c r="C393">
        <v>2025</v>
      </c>
      <c r="D393" t="s">
        <v>1214</v>
      </c>
      <c r="E393" t="s">
        <v>1210</v>
      </c>
      <c r="F393" t="s">
        <v>1102</v>
      </c>
      <c r="G393" t="s">
        <v>1011</v>
      </c>
      <c r="H393" s="2">
        <v>25000</v>
      </c>
      <c r="I393" t="s">
        <v>1206</v>
      </c>
      <c r="J393" t="s">
        <v>1030</v>
      </c>
      <c r="K393" t="s">
        <v>1031</v>
      </c>
    </row>
    <row r="394" spans="1:11" x14ac:dyDescent="0.25">
      <c r="A394" t="s">
        <v>393</v>
      </c>
      <c r="B394" s="1">
        <v>45715</v>
      </c>
      <c r="C394">
        <v>2025</v>
      </c>
      <c r="D394" t="s">
        <v>1214</v>
      </c>
      <c r="E394" t="s">
        <v>1210</v>
      </c>
      <c r="F394" t="s">
        <v>1119</v>
      </c>
      <c r="G394" t="s">
        <v>1011</v>
      </c>
      <c r="H394" s="2">
        <v>22000</v>
      </c>
      <c r="I394" t="s">
        <v>1206</v>
      </c>
      <c r="J394" t="s">
        <v>1030</v>
      </c>
      <c r="K394" t="s">
        <v>1031</v>
      </c>
    </row>
    <row r="395" spans="1:11" x14ac:dyDescent="0.25">
      <c r="A395" t="s">
        <v>394</v>
      </c>
      <c r="B395" s="1">
        <v>45717</v>
      </c>
      <c r="C395">
        <v>2025</v>
      </c>
      <c r="D395" t="s">
        <v>1215</v>
      </c>
      <c r="E395" t="s">
        <v>1205</v>
      </c>
      <c r="F395" t="s">
        <v>1018</v>
      </c>
      <c r="G395" t="s">
        <v>1013</v>
      </c>
      <c r="H395" s="2">
        <v>4000</v>
      </c>
      <c r="I395" t="s">
        <v>1206</v>
      </c>
      <c r="J395" t="s">
        <v>1030</v>
      </c>
      <c r="K395" t="s">
        <v>1031</v>
      </c>
    </row>
    <row r="396" spans="1:11" x14ac:dyDescent="0.25">
      <c r="A396" t="s">
        <v>395</v>
      </c>
      <c r="B396" s="1">
        <v>45719</v>
      </c>
      <c r="C396">
        <v>2025</v>
      </c>
      <c r="D396" t="s">
        <v>1215</v>
      </c>
      <c r="E396" t="s">
        <v>1205</v>
      </c>
      <c r="F396" t="s">
        <v>1049</v>
      </c>
      <c r="G396" t="s">
        <v>1199</v>
      </c>
      <c r="H396" s="2">
        <v>24000</v>
      </c>
      <c r="I396" t="s">
        <v>1206</v>
      </c>
      <c r="J396" t="s">
        <v>1030</v>
      </c>
      <c r="K396" t="s">
        <v>1031</v>
      </c>
    </row>
    <row r="397" spans="1:11" x14ac:dyDescent="0.25">
      <c r="A397" t="s">
        <v>396</v>
      </c>
      <c r="B397" s="1">
        <v>45719</v>
      </c>
      <c r="C397">
        <v>2025</v>
      </c>
      <c r="D397" t="s">
        <v>1215</v>
      </c>
      <c r="E397" t="s">
        <v>1205</v>
      </c>
      <c r="F397" t="s">
        <v>1035</v>
      </c>
      <c r="G397" t="s">
        <v>1197</v>
      </c>
      <c r="H397" s="2">
        <v>13000</v>
      </c>
      <c r="I397" t="s">
        <v>1206</v>
      </c>
      <c r="J397" t="s">
        <v>1030</v>
      </c>
      <c r="K397" t="s">
        <v>1031</v>
      </c>
    </row>
    <row r="398" spans="1:11" x14ac:dyDescent="0.25">
      <c r="A398" t="s">
        <v>397</v>
      </c>
      <c r="B398" s="1">
        <v>45720</v>
      </c>
      <c r="C398">
        <v>2025</v>
      </c>
      <c r="D398" t="s">
        <v>1215</v>
      </c>
      <c r="E398" t="s">
        <v>1205</v>
      </c>
      <c r="F398" t="s">
        <v>1033</v>
      </c>
      <c r="G398" t="s">
        <v>1014</v>
      </c>
      <c r="H398" s="2">
        <v>109580</v>
      </c>
      <c r="I398" t="s">
        <v>1211</v>
      </c>
      <c r="J398" t="s">
        <v>1030</v>
      </c>
      <c r="K398" t="s">
        <v>1031</v>
      </c>
    </row>
    <row r="399" spans="1:11" x14ac:dyDescent="0.25">
      <c r="A399" t="s">
        <v>398</v>
      </c>
      <c r="B399" s="1">
        <v>45721</v>
      </c>
      <c r="C399">
        <v>2025</v>
      </c>
      <c r="D399" t="s">
        <v>1215</v>
      </c>
      <c r="E399" t="s">
        <v>1205</v>
      </c>
      <c r="F399" t="s">
        <v>1136</v>
      </c>
      <c r="G399" t="s">
        <v>1198</v>
      </c>
      <c r="H399" s="2">
        <v>12000</v>
      </c>
      <c r="I399" t="s">
        <v>1212</v>
      </c>
      <c r="J399" t="s">
        <v>1030</v>
      </c>
      <c r="K399" t="s">
        <v>1031</v>
      </c>
    </row>
    <row r="400" spans="1:11" x14ac:dyDescent="0.25">
      <c r="A400" t="s">
        <v>399</v>
      </c>
      <c r="B400" s="1">
        <v>45721</v>
      </c>
      <c r="C400">
        <v>2025</v>
      </c>
      <c r="D400" t="s">
        <v>1215</v>
      </c>
      <c r="E400" t="s">
        <v>1205</v>
      </c>
      <c r="F400" t="s">
        <v>1137</v>
      </c>
      <c r="G400" t="s">
        <v>1015</v>
      </c>
      <c r="H400" s="2">
        <v>10000</v>
      </c>
      <c r="I400" t="s">
        <v>1212</v>
      </c>
      <c r="J400" t="s">
        <v>1030</v>
      </c>
      <c r="K400" t="s">
        <v>1031</v>
      </c>
    </row>
    <row r="401" spans="1:11" x14ac:dyDescent="0.25">
      <c r="A401" t="s">
        <v>400</v>
      </c>
      <c r="B401" s="1">
        <v>45721</v>
      </c>
      <c r="C401">
        <v>2025</v>
      </c>
      <c r="D401" t="s">
        <v>1215</v>
      </c>
      <c r="E401" t="s">
        <v>1205</v>
      </c>
      <c r="F401" t="s">
        <v>1117</v>
      </c>
      <c r="G401" t="s">
        <v>1198</v>
      </c>
      <c r="H401" s="2">
        <v>7000</v>
      </c>
      <c r="I401" t="s">
        <v>1206</v>
      </c>
      <c r="J401" t="s">
        <v>1030</v>
      </c>
      <c r="K401" t="s">
        <v>1031</v>
      </c>
    </row>
    <row r="402" spans="1:11" x14ac:dyDescent="0.25">
      <c r="A402" t="s">
        <v>401</v>
      </c>
      <c r="B402" s="1">
        <v>45721</v>
      </c>
      <c r="C402">
        <v>2025</v>
      </c>
      <c r="D402" t="s">
        <v>1215</v>
      </c>
      <c r="E402" t="s">
        <v>1205</v>
      </c>
      <c r="F402" t="s">
        <v>1037</v>
      </c>
      <c r="G402" t="s">
        <v>1199</v>
      </c>
      <c r="H402" s="2">
        <v>24000</v>
      </c>
      <c r="I402" t="s">
        <v>1206</v>
      </c>
      <c r="J402" t="s">
        <v>1030</v>
      </c>
      <c r="K402" t="s">
        <v>1031</v>
      </c>
    </row>
    <row r="403" spans="1:11" x14ac:dyDescent="0.25">
      <c r="A403" t="s">
        <v>402</v>
      </c>
      <c r="B403" s="1">
        <v>45722</v>
      </c>
      <c r="C403">
        <v>2025</v>
      </c>
      <c r="D403" t="s">
        <v>1215</v>
      </c>
      <c r="E403" t="s">
        <v>1205</v>
      </c>
      <c r="F403" t="s">
        <v>1138</v>
      </c>
      <c r="G403" t="s">
        <v>1012</v>
      </c>
      <c r="H403" s="2">
        <v>25000</v>
      </c>
      <c r="I403" t="s">
        <v>1206</v>
      </c>
      <c r="J403" t="s">
        <v>1030</v>
      </c>
      <c r="K403" t="s">
        <v>1031</v>
      </c>
    </row>
    <row r="404" spans="1:11" x14ac:dyDescent="0.25">
      <c r="A404" t="s">
        <v>403</v>
      </c>
      <c r="B404" s="1">
        <v>45743</v>
      </c>
      <c r="C404">
        <v>2025</v>
      </c>
      <c r="D404" t="s">
        <v>1215</v>
      </c>
      <c r="E404" t="s">
        <v>1210</v>
      </c>
      <c r="F404" t="s">
        <v>1139</v>
      </c>
      <c r="G404" t="s">
        <v>1015</v>
      </c>
      <c r="H404" s="2">
        <v>102000</v>
      </c>
      <c r="I404" t="s">
        <v>1206</v>
      </c>
      <c r="J404" t="s">
        <v>1030</v>
      </c>
      <c r="K404" t="s">
        <v>1031</v>
      </c>
    </row>
    <row r="405" spans="1:11" x14ac:dyDescent="0.25">
      <c r="A405" t="s">
        <v>404</v>
      </c>
      <c r="B405" s="1">
        <v>45717</v>
      </c>
      <c r="C405">
        <v>2025</v>
      </c>
      <c r="D405" t="s">
        <v>1215</v>
      </c>
      <c r="E405" t="s">
        <v>1205</v>
      </c>
      <c r="F405" t="s">
        <v>1045</v>
      </c>
      <c r="G405" t="s">
        <v>1197</v>
      </c>
      <c r="H405" s="2">
        <v>55000</v>
      </c>
      <c r="I405" t="s">
        <v>1206</v>
      </c>
      <c r="J405" t="s">
        <v>1030</v>
      </c>
      <c r="K405" t="s">
        <v>1031</v>
      </c>
    </row>
    <row r="406" spans="1:11" x14ac:dyDescent="0.25">
      <c r="A406" t="s">
        <v>405</v>
      </c>
      <c r="B406" s="1">
        <v>45726</v>
      </c>
      <c r="C406">
        <v>2025</v>
      </c>
      <c r="D406" t="s">
        <v>1215</v>
      </c>
      <c r="E406" t="s">
        <v>1207</v>
      </c>
      <c r="F406" t="s">
        <v>1040</v>
      </c>
      <c r="G406" t="s">
        <v>1199</v>
      </c>
      <c r="H406" s="2">
        <v>24000</v>
      </c>
      <c r="I406" t="s">
        <v>1206</v>
      </c>
      <c r="J406" t="s">
        <v>1030</v>
      </c>
      <c r="K406" t="s">
        <v>1031</v>
      </c>
    </row>
    <row r="407" spans="1:11" x14ac:dyDescent="0.25">
      <c r="A407" t="s">
        <v>406</v>
      </c>
      <c r="B407" s="1">
        <v>45726</v>
      </c>
      <c r="C407">
        <v>2025</v>
      </c>
      <c r="D407" t="s">
        <v>1215</v>
      </c>
      <c r="E407" t="s">
        <v>1207</v>
      </c>
      <c r="F407" t="s">
        <v>1035</v>
      </c>
      <c r="G407" t="s">
        <v>1197</v>
      </c>
      <c r="H407" s="2">
        <v>13000</v>
      </c>
      <c r="I407" t="s">
        <v>1206</v>
      </c>
      <c r="J407" t="s">
        <v>1030</v>
      </c>
      <c r="K407" t="s">
        <v>1031</v>
      </c>
    </row>
    <row r="408" spans="1:11" x14ac:dyDescent="0.25">
      <c r="A408" t="s">
        <v>407</v>
      </c>
      <c r="B408" s="1">
        <v>45726</v>
      </c>
      <c r="C408">
        <v>2025</v>
      </c>
      <c r="D408" t="s">
        <v>1215</v>
      </c>
      <c r="E408" t="s">
        <v>1207</v>
      </c>
      <c r="F408" t="s">
        <v>1140</v>
      </c>
      <c r="G408" t="s">
        <v>1010</v>
      </c>
      <c r="H408" s="2">
        <v>10000</v>
      </c>
      <c r="I408" t="s">
        <v>1206</v>
      </c>
      <c r="J408" t="s">
        <v>1030</v>
      </c>
      <c r="K408" t="s">
        <v>1031</v>
      </c>
    </row>
    <row r="409" spans="1:11" x14ac:dyDescent="0.25">
      <c r="A409" t="s">
        <v>408</v>
      </c>
      <c r="B409" s="1">
        <v>45727</v>
      </c>
      <c r="C409">
        <v>2025</v>
      </c>
      <c r="D409" t="s">
        <v>1215</v>
      </c>
      <c r="E409" t="s">
        <v>1207</v>
      </c>
      <c r="F409" t="s">
        <v>1018</v>
      </c>
      <c r="G409" t="s">
        <v>1013</v>
      </c>
      <c r="H409" s="2">
        <v>4000</v>
      </c>
      <c r="I409" t="s">
        <v>1206</v>
      </c>
      <c r="J409" t="s">
        <v>1030</v>
      </c>
      <c r="K409" t="s">
        <v>1031</v>
      </c>
    </row>
    <row r="410" spans="1:11" x14ac:dyDescent="0.25">
      <c r="A410" t="s">
        <v>409</v>
      </c>
      <c r="B410" s="1">
        <v>45729</v>
      </c>
      <c r="C410">
        <v>2025</v>
      </c>
      <c r="D410" t="s">
        <v>1215</v>
      </c>
      <c r="E410" t="s">
        <v>1207</v>
      </c>
      <c r="F410" t="s">
        <v>1106</v>
      </c>
      <c r="G410" t="s">
        <v>1010</v>
      </c>
      <c r="H410" s="2">
        <v>7000</v>
      </c>
      <c r="I410" t="s">
        <v>1206</v>
      </c>
      <c r="J410" t="s">
        <v>1030</v>
      </c>
      <c r="K410" t="s">
        <v>1031</v>
      </c>
    </row>
    <row r="411" spans="1:11" x14ac:dyDescent="0.25">
      <c r="A411" t="s">
        <v>410</v>
      </c>
      <c r="B411" s="1">
        <v>45729</v>
      </c>
      <c r="C411">
        <v>2025</v>
      </c>
      <c r="D411" t="s">
        <v>1215</v>
      </c>
      <c r="E411" t="s">
        <v>1207</v>
      </c>
      <c r="F411" t="s">
        <v>1041</v>
      </c>
      <c r="G411" t="s">
        <v>1010</v>
      </c>
      <c r="H411" s="2">
        <v>2800</v>
      </c>
      <c r="I411" t="s">
        <v>1206</v>
      </c>
      <c r="J411" t="s">
        <v>1030</v>
      </c>
      <c r="K411" t="s">
        <v>1031</v>
      </c>
    </row>
    <row r="412" spans="1:11" x14ac:dyDescent="0.25">
      <c r="A412" t="s">
        <v>411</v>
      </c>
      <c r="B412" s="1">
        <v>45735</v>
      </c>
      <c r="C412">
        <v>2025</v>
      </c>
      <c r="D412" t="s">
        <v>1215</v>
      </c>
      <c r="E412" t="s">
        <v>1208</v>
      </c>
      <c r="F412" t="s">
        <v>1035</v>
      </c>
      <c r="G412" t="s">
        <v>1197</v>
      </c>
      <c r="H412" s="2">
        <v>13000</v>
      </c>
      <c r="I412" t="s">
        <v>1206</v>
      </c>
      <c r="J412" t="s">
        <v>1030</v>
      </c>
      <c r="K412" t="s">
        <v>1031</v>
      </c>
    </row>
    <row r="413" spans="1:11" x14ac:dyDescent="0.25">
      <c r="A413" t="s">
        <v>412</v>
      </c>
      <c r="B413" s="1">
        <v>45733</v>
      </c>
      <c r="C413">
        <v>2025</v>
      </c>
      <c r="D413" t="s">
        <v>1215</v>
      </c>
      <c r="E413" t="s">
        <v>1208</v>
      </c>
      <c r="F413" t="s">
        <v>1106</v>
      </c>
      <c r="G413" t="s">
        <v>1010</v>
      </c>
      <c r="H413" s="2">
        <v>10000</v>
      </c>
      <c r="I413" t="s">
        <v>1212</v>
      </c>
      <c r="J413" t="s">
        <v>1030</v>
      </c>
      <c r="K413" t="s">
        <v>1031</v>
      </c>
    </row>
    <row r="414" spans="1:11" x14ac:dyDescent="0.25">
      <c r="A414" t="s">
        <v>413</v>
      </c>
      <c r="B414" s="1">
        <v>45735</v>
      </c>
      <c r="C414">
        <v>2025</v>
      </c>
      <c r="D414" t="s">
        <v>1215</v>
      </c>
      <c r="E414" t="s">
        <v>1208</v>
      </c>
      <c r="F414" t="s">
        <v>1120</v>
      </c>
      <c r="G414" t="s">
        <v>1014</v>
      </c>
      <c r="H414" s="2">
        <v>4500</v>
      </c>
      <c r="I414" t="s">
        <v>1212</v>
      </c>
      <c r="J414" t="s">
        <v>1030</v>
      </c>
      <c r="K414" t="s">
        <v>1031</v>
      </c>
    </row>
    <row r="415" spans="1:11" x14ac:dyDescent="0.25">
      <c r="A415" t="s">
        <v>414</v>
      </c>
      <c r="B415" s="1">
        <v>45740</v>
      </c>
      <c r="C415">
        <v>2025</v>
      </c>
      <c r="D415" t="s">
        <v>1215</v>
      </c>
      <c r="E415" t="s">
        <v>1210</v>
      </c>
      <c r="F415" t="s">
        <v>1035</v>
      </c>
      <c r="G415" t="s">
        <v>1197</v>
      </c>
      <c r="H415" s="2">
        <v>13000</v>
      </c>
      <c r="I415" t="s">
        <v>1206</v>
      </c>
      <c r="J415" t="s">
        <v>1030</v>
      </c>
      <c r="K415" t="s">
        <v>1031</v>
      </c>
    </row>
    <row r="416" spans="1:11" x14ac:dyDescent="0.25">
      <c r="A416" t="s">
        <v>415</v>
      </c>
      <c r="B416" s="1">
        <v>45740</v>
      </c>
      <c r="C416">
        <v>2025</v>
      </c>
      <c r="D416" t="s">
        <v>1215</v>
      </c>
      <c r="E416" t="s">
        <v>1210</v>
      </c>
      <c r="F416" t="s">
        <v>1023</v>
      </c>
      <c r="G416" t="s">
        <v>1201</v>
      </c>
      <c r="H416" s="2">
        <v>10000</v>
      </c>
      <c r="I416" t="s">
        <v>1212</v>
      </c>
      <c r="J416" t="s">
        <v>1030</v>
      </c>
      <c r="K416" t="s">
        <v>1031</v>
      </c>
    </row>
    <row r="417" spans="1:11" x14ac:dyDescent="0.25">
      <c r="A417" t="s">
        <v>416</v>
      </c>
      <c r="B417" s="1">
        <v>45741</v>
      </c>
      <c r="C417">
        <v>2025</v>
      </c>
      <c r="D417" t="s">
        <v>1215</v>
      </c>
      <c r="E417" t="s">
        <v>1210</v>
      </c>
      <c r="F417" t="s">
        <v>1119</v>
      </c>
      <c r="G417" t="s">
        <v>1011</v>
      </c>
      <c r="H417" s="2">
        <v>20000</v>
      </c>
      <c r="I417" t="s">
        <v>1211</v>
      </c>
      <c r="J417" t="s">
        <v>1030</v>
      </c>
      <c r="K417" t="s">
        <v>1031</v>
      </c>
    </row>
    <row r="418" spans="1:11" x14ac:dyDescent="0.25">
      <c r="A418" t="s">
        <v>417</v>
      </c>
      <c r="B418" s="1">
        <v>45741</v>
      </c>
      <c r="C418">
        <v>2025</v>
      </c>
      <c r="D418" t="s">
        <v>1215</v>
      </c>
      <c r="E418" t="s">
        <v>1210</v>
      </c>
      <c r="F418" t="s">
        <v>1141</v>
      </c>
      <c r="G418" t="s">
        <v>1198</v>
      </c>
      <c r="H418" s="2">
        <v>4000</v>
      </c>
      <c r="I418" t="s">
        <v>1206</v>
      </c>
      <c r="J418" t="s">
        <v>1030</v>
      </c>
      <c r="K418" t="s">
        <v>1031</v>
      </c>
    </row>
    <row r="419" spans="1:11" x14ac:dyDescent="0.25">
      <c r="A419" t="s">
        <v>418</v>
      </c>
      <c r="B419" s="1">
        <v>45742</v>
      </c>
      <c r="C419">
        <v>2025</v>
      </c>
      <c r="D419" t="s">
        <v>1215</v>
      </c>
      <c r="E419" t="s">
        <v>1210</v>
      </c>
      <c r="F419" t="s">
        <v>1025</v>
      </c>
      <c r="G419" t="s">
        <v>1014</v>
      </c>
      <c r="H419" s="2">
        <v>5000</v>
      </c>
      <c r="I419" t="s">
        <v>1206</v>
      </c>
      <c r="J419" t="s">
        <v>1030</v>
      </c>
      <c r="K419" t="s">
        <v>1031</v>
      </c>
    </row>
    <row r="420" spans="1:11" x14ac:dyDescent="0.25">
      <c r="A420" t="s">
        <v>419</v>
      </c>
      <c r="B420" s="1">
        <v>45727</v>
      </c>
      <c r="C420">
        <v>2025</v>
      </c>
      <c r="D420" t="s">
        <v>1215</v>
      </c>
      <c r="E420" t="s">
        <v>1207</v>
      </c>
      <c r="F420" t="s">
        <v>1025</v>
      </c>
      <c r="G420" t="s">
        <v>1014</v>
      </c>
      <c r="H420" s="2">
        <v>5000</v>
      </c>
      <c r="I420" t="s">
        <v>1206</v>
      </c>
      <c r="J420" t="s">
        <v>1030</v>
      </c>
      <c r="K420" t="s">
        <v>1031</v>
      </c>
    </row>
    <row r="421" spans="1:11" x14ac:dyDescent="0.25">
      <c r="A421" t="s">
        <v>420</v>
      </c>
      <c r="B421" s="1">
        <v>45743</v>
      </c>
      <c r="C421">
        <v>2025</v>
      </c>
      <c r="D421" t="s">
        <v>1215</v>
      </c>
      <c r="E421" t="s">
        <v>1210</v>
      </c>
      <c r="F421" t="s">
        <v>1102</v>
      </c>
      <c r="G421" t="s">
        <v>1011</v>
      </c>
      <c r="H421" s="2">
        <v>25000</v>
      </c>
      <c r="I421" t="s">
        <v>1206</v>
      </c>
      <c r="J421" t="s">
        <v>1030</v>
      </c>
      <c r="K421" t="s">
        <v>1031</v>
      </c>
    </row>
    <row r="422" spans="1:11" x14ac:dyDescent="0.25">
      <c r="A422" t="s">
        <v>421</v>
      </c>
      <c r="B422" s="1">
        <v>45743</v>
      </c>
      <c r="C422">
        <v>2025</v>
      </c>
      <c r="D422" t="s">
        <v>1215</v>
      </c>
      <c r="E422" t="s">
        <v>1210</v>
      </c>
      <c r="F422" t="s">
        <v>1102</v>
      </c>
      <c r="G422" t="s">
        <v>1011</v>
      </c>
      <c r="H422" s="2">
        <v>25000</v>
      </c>
      <c r="I422" t="s">
        <v>1206</v>
      </c>
      <c r="J422" t="s">
        <v>1030</v>
      </c>
      <c r="K422" t="s">
        <v>1031</v>
      </c>
    </row>
    <row r="423" spans="1:11" x14ac:dyDescent="0.25">
      <c r="A423" t="s">
        <v>422</v>
      </c>
      <c r="B423" s="1">
        <v>45749</v>
      </c>
      <c r="C423">
        <v>2025</v>
      </c>
      <c r="D423" t="s">
        <v>1216</v>
      </c>
      <c r="E423" t="s">
        <v>1205</v>
      </c>
      <c r="F423" t="s">
        <v>1035</v>
      </c>
      <c r="G423" t="s">
        <v>1197</v>
      </c>
      <c r="H423" s="2">
        <v>13000</v>
      </c>
      <c r="I423" t="s">
        <v>1206</v>
      </c>
      <c r="J423" t="s">
        <v>1030</v>
      </c>
      <c r="K423" t="s">
        <v>1031</v>
      </c>
    </row>
    <row r="424" spans="1:11" x14ac:dyDescent="0.25">
      <c r="A424" t="s">
        <v>423</v>
      </c>
      <c r="B424" s="1">
        <v>45749</v>
      </c>
      <c r="C424">
        <v>2025</v>
      </c>
      <c r="D424" t="s">
        <v>1216</v>
      </c>
      <c r="E424" t="s">
        <v>1205</v>
      </c>
      <c r="F424" t="s">
        <v>1119</v>
      </c>
      <c r="G424" t="s">
        <v>1011</v>
      </c>
      <c r="H424" s="2">
        <v>25000</v>
      </c>
      <c r="I424" t="s">
        <v>1206</v>
      </c>
      <c r="J424" t="s">
        <v>1030</v>
      </c>
      <c r="K424" t="s">
        <v>1031</v>
      </c>
    </row>
    <row r="425" spans="1:11" x14ac:dyDescent="0.25">
      <c r="A425" t="s">
        <v>424</v>
      </c>
      <c r="B425" s="1">
        <v>45749</v>
      </c>
      <c r="C425">
        <v>2025</v>
      </c>
      <c r="D425" t="s">
        <v>1216</v>
      </c>
      <c r="E425" t="s">
        <v>1205</v>
      </c>
      <c r="F425" t="s">
        <v>1106</v>
      </c>
      <c r="G425" t="s">
        <v>1010</v>
      </c>
      <c r="H425" s="2">
        <v>7000</v>
      </c>
      <c r="I425" t="s">
        <v>1206</v>
      </c>
      <c r="J425" t="s">
        <v>1030</v>
      </c>
      <c r="K425" t="s">
        <v>1031</v>
      </c>
    </row>
    <row r="426" spans="1:11" x14ac:dyDescent="0.25">
      <c r="A426" t="s">
        <v>425</v>
      </c>
      <c r="B426" s="1">
        <v>45749</v>
      </c>
      <c r="C426">
        <v>2025</v>
      </c>
      <c r="D426" t="s">
        <v>1216</v>
      </c>
      <c r="E426" t="s">
        <v>1205</v>
      </c>
      <c r="F426" t="s">
        <v>1049</v>
      </c>
      <c r="G426" t="s">
        <v>1199</v>
      </c>
      <c r="H426" s="2">
        <v>24000</v>
      </c>
      <c r="I426" t="s">
        <v>1206</v>
      </c>
      <c r="J426" t="s">
        <v>1030</v>
      </c>
      <c r="K426" t="s">
        <v>1031</v>
      </c>
    </row>
    <row r="427" spans="1:11" x14ac:dyDescent="0.25">
      <c r="A427" t="s">
        <v>426</v>
      </c>
      <c r="B427" s="1">
        <v>45749</v>
      </c>
      <c r="C427">
        <v>2025</v>
      </c>
      <c r="D427" t="s">
        <v>1216</v>
      </c>
      <c r="E427" t="s">
        <v>1205</v>
      </c>
      <c r="F427" t="s">
        <v>1037</v>
      </c>
      <c r="G427" t="s">
        <v>1199</v>
      </c>
      <c r="H427" s="2">
        <v>24000</v>
      </c>
      <c r="I427" t="s">
        <v>1206</v>
      </c>
      <c r="J427" t="s">
        <v>1030</v>
      </c>
      <c r="K427" t="s">
        <v>1031</v>
      </c>
    </row>
    <row r="428" spans="1:11" x14ac:dyDescent="0.25">
      <c r="A428" t="s">
        <v>427</v>
      </c>
      <c r="B428" s="1">
        <v>45750</v>
      </c>
      <c r="C428">
        <v>2025</v>
      </c>
      <c r="D428" t="s">
        <v>1216</v>
      </c>
      <c r="E428" t="s">
        <v>1205</v>
      </c>
      <c r="F428" t="s">
        <v>1041</v>
      </c>
      <c r="G428" t="s">
        <v>1010</v>
      </c>
      <c r="H428" s="2">
        <v>4000</v>
      </c>
      <c r="I428" t="s">
        <v>1212</v>
      </c>
      <c r="J428" t="s">
        <v>1030</v>
      </c>
      <c r="K428" t="s">
        <v>1031</v>
      </c>
    </row>
    <row r="429" spans="1:11" x14ac:dyDescent="0.25">
      <c r="A429" t="s">
        <v>428</v>
      </c>
      <c r="B429" s="1">
        <v>45750</v>
      </c>
      <c r="C429">
        <v>2025</v>
      </c>
      <c r="D429" t="s">
        <v>1216</v>
      </c>
      <c r="E429" t="s">
        <v>1205</v>
      </c>
      <c r="F429" t="s">
        <v>1102</v>
      </c>
      <c r="G429" t="s">
        <v>1011</v>
      </c>
      <c r="H429" s="2">
        <v>22000</v>
      </c>
      <c r="I429" t="s">
        <v>1206</v>
      </c>
      <c r="J429" t="s">
        <v>1030</v>
      </c>
      <c r="K429" t="s">
        <v>1031</v>
      </c>
    </row>
    <row r="430" spans="1:11" x14ac:dyDescent="0.25">
      <c r="A430" t="s">
        <v>429</v>
      </c>
      <c r="B430" s="1">
        <v>45751</v>
      </c>
      <c r="C430">
        <v>2025</v>
      </c>
      <c r="D430" t="s">
        <v>1216</v>
      </c>
      <c r="E430" t="s">
        <v>1205</v>
      </c>
      <c r="F430" t="s">
        <v>1119</v>
      </c>
      <c r="G430" t="s">
        <v>1011</v>
      </c>
      <c r="H430" s="2">
        <v>15000</v>
      </c>
      <c r="I430" t="s">
        <v>1206</v>
      </c>
      <c r="J430" t="s">
        <v>1030</v>
      </c>
      <c r="K430" t="s">
        <v>1031</v>
      </c>
    </row>
    <row r="431" spans="1:11" x14ac:dyDescent="0.25">
      <c r="A431" t="s">
        <v>430</v>
      </c>
      <c r="B431" s="1">
        <v>45751</v>
      </c>
      <c r="C431">
        <v>2025</v>
      </c>
      <c r="D431" t="s">
        <v>1216</v>
      </c>
      <c r="E431" t="s">
        <v>1205</v>
      </c>
      <c r="F431" t="s">
        <v>1231</v>
      </c>
      <c r="G431" t="s">
        <v>1015</v>
      </c>
      <c r="H431" s="2">
        <v>6000</v>
      </c>
      <c r="I431" t="s">
        <v>1206</v>
      </c>
      <c r="J431" t="s">
        <v>1030</v>
      </c>
      <c r="K431" t="s">
        <v>1031</v>
      </c>
    </row>
    <row r="432" spans="1:11" x14ac:dyDescent="0.25">
      <c r="A432" t="s">
        <v>431</v>
      </c>
      <c r="B432" s="1">
        <v>45752</v>
      </c>
      <c r="C432">
        <v>2025</v>
      </c>
      <c r="D432" t="s">
        <v>1216</v>
      </c>
      <c r="E432" t="s">
        <v>1205</v>
      </c>
      <c r="F432" t="s">
        <v>1018</v>
      </c>
      <c r="G432" t="s">
        <v>1013</v>
      </c>
      <c r="H432" s="2">
        <v>4000</v>
      </c>
      <c r="I432" t="s">
        <v>1206</v>
      </c>
      <c r="J432" t="s">
        <v>1030</v>
      </c>
      <c r="K432" t="s">
        <v>1031</v>
      </c>
    </row>
    <row r="433" spans="1:11" x14ac:dyDescent="0.25">
      <c r="A433" t="s">
        <v>432</v>
      </c>
      <c r="B433" s="1">
        <v>45754</v>
      </c>
      <c r="C433">
        <v>2025</v>
      </c>
      <c r="D433" t="s">
        <v>1216</v>
      </c>
      <c r="E433" t="s">
        <v>1205</v>
      </c>
      <c r="F433" t="s">
        <v>1033</v>
      </c>
      <c r="G433" t="s">
        <v>1014</v>
      </c>
      <c r="H433" s="2">
        <v>104600</v>
      </c>
      <c r="I433" t="s">
        <v>1206</v>
      </c>
      <c r="J433" t="s">
        <v>1030</v>
      </c>
      <c r="K433" t="s">
        <v>1031</v>
      </c>
    </row>
    <row r="434" spans="1:11" x14ac:dyDescent="0.25">
      <c r="A434" t="s">
        <v>433</v>
      </c>
      <c r="B434" s="1">
        <v>45754</v>
      </c>
      <c r="C434">
        <v>2025</v>
      </c>
      <c r="D434" t="s">
        <v>1216</v>
      </c>
      <c r="E434" t="s">
        <v>1205</v>
      </c>
      <c r="F434" t="s">
        <v>1035</v>
      </c>
      <c r="G434" t="s">
        <v>1197</v>
      </c>
      <c r="H434" s="2">
        <v>13000</v>
      </c>
      <c r="I434" t="s">
        <v>1206</v>
      </c>
      <c r="J434" t="s">
        <v>1030</v>
      </c>
      <c r="K434" t="s">
        <v>1031</v>
      </c>
    </row>
    <row r="435" spans="1:11" x14ac:dyDescent="0.25">
      <c r="A435" t="s">
        <v>434</v>
      </c>
      <c r="B435" s="1">
        <v>45755</v>
      </c>
      <c r="C435">
        <v>2025</v>
      </c>
      <c r="D435" t="s">
        <v>1216</v>
      </c>
      <c r="E435" t="s">
        <v>1207</v>
      </c>
      <c r="F435" t="s">
        <v>1025</v>
      </c>
      <c r="G435" t="s">
        <v>1014</v>
      </c>
      <c r="H435" s="2">
        <v>5000</v>
      </c>
      <c r="I435" t="s">
        <v>1206</v>
      </c>
      <c r="J435" t="s">
        <v>1030</v>
      </c>
      <c r="K435" t="s">
        <v>1031</v>
      </c>
    </row>
    <row r="436" spans="1:11" x14ac:dyDescent="0.25">
      <c r="A436" t="s">
        <v>435</v>
      </c>
      <c r="B436" s="1">
        <v>45757</v>
      </c>
      <c r="C436">
        <v>2025</v>
      </c>
      <c r="D436" t="s">
        <v>1216</v>
      </c>
      <c r="E436" t="s">
        <v>1207</v>
      </c>
      <c r="F436" t="s">
        <v>1119</v>
      </c>
      <c r="G436" t="s">
        <v>1011</v>
      </c>
      <c r="H436" s="2">
        <v>25000</v>
      </c>
      <c r="I436" t="s">
        <v>1206</v>
      </c>
      <c r="J436" t="s">
        <v>1030</v>
      </c>
      <c r="K436" t="s">
        <v>1031</v>
      </c>
    </row>
    <row r="437" spans="1:11" x14ac:dyDescent="0.25">
      <c r="A437" t="s">
        <v>436</v>
      </c>
      <c r="B437" s="1">
        <v>45757</v>
      </c>
      <c r="C437">
        <v>2025</v>
      </c>
      <c r="D437" t="s">
        <v>1216</v>
      </c>
      <c r="E437" t="s">
        <v>1207</v>
      </c>
      <c r="F437" t="s">
        <v>1102</v>
      </c>
      <c r="G437" t="s">
        <v>1011</v>
      </c>
      <c r="H437" s="2">
        <v>25000</v>
      </c>
      <c r="I437" t="s">
        <v>1206</v>
      </c>
      <c r="J437" t="s">
        <v>1030</v>
      </c>
      <c r="K437" t="s">
        <v>1031</v>
      </c>
    </row>
    <row r="438" spans="1:11" x14ac:dyDescent="0.25">
      <c r="A438" t="s">
        <v>437</v>
      </c>
      <c r="B438" s="1">
        <v>45757</v>
      </c>
      <c r="C438">
        <v>2025</v>
      </c>
      <c r="D438" t="s">
        <v>1216</v>
      </c>
      <c r="E438" t="s">
        <v>1207</v>
      </c>
      <c r="F438" t="s">
        <v>1040</v>
      </c>
      <c r="G438" t="s">
        <v>1199</v>
      </c>
      <c r="H438" s="2">
        <v>24000</v>
      </c>
      <c r="I438" t="s">
        <v>1206</v>
      </c>
      <c r="J438" t="s">
        <v>1030</v>
      </c>
      <c r="K438" t="s">
        <v>1031</v>
      </c>
    </row>
    <row r="439" spans="1:11" x14ac:dyDescent="0.25">
      <c r="A439" t="s">
        <v>438</v>
      </c>
      <c r="B439" s="1">
        <v>45754</v>
      </c>
      <c r="C439">
        <v>2025</v>
      </c>
      <c r="D439" t="s">
        <v>1216</v>
      </c>
      <c r="E439" t="s">
        <v>1205</v>
      </c>
      <c r="F439" t="s">
        <v>1120</v>
      </c>
      <c r="G439" t="s">
        <v>1014</v>
      </c>
      <c r="H439" s="2">
        <v>4800</v>
      </c>
      <c r="I439" t="s">
        <v>1206</v>
      </c>
      <c r="J439" t="s">
        <v>1030</v>
      </c>
      <c r="K439" t="s">
        <v>1031</v>
      </c>
    </row>
    <row r="440" spans="1:11" x14ac:dyDescent="0.25">
      <c r="A440" t="s">
        <v>439</v>
      </c>
      <c r="B440" s="1">
        <v>45757</v>
      </c>
      <c r="C440">
        <v>2025</v>
      </c>
      <c r="D440" t="s">
        <v>1216</v>
      </c>
      <c r="E440" t="s">
        <v>1207</v>
      </c>
      <c r="F440" t="s">
        <v>1102</v>
      </c>
      <c r="G440" t="s">
        <v>1011</v>
      </c>
      <c r="H440" s="2">
        <v>22000</v>
      </c>
      <c r="I440" t="s">
        <v>1206</v>
      </c>
      <c r="J440" t="s">
        <v>1030</v>
      </c>
      <c r="K440" t="s">
        <v>1031</v>
      </c>
    </row>
    <row r="441" spans="1:11" x14ac:dyDescent="0.25">
      <c r="A441" t="s">
        <v>440</v>
      </c>
      <c r="B441" s="1">
        <v>45761</v>
      </c>
      <c r="C441">
        <v>2025</v>
      </c>
      <c r="D441" t="s">
        <v>1216</v>
      </c>
      <c r="E441" t="s">
        <v>1207</v>
      </c>
      <c r="F441" t="s">
        <v>1035</v>
      </c>
      <c r="G441" t="s">
        <v>1197</v>
      </c>
      <c r="H441" s="2">
        <v>13000</v>
      </c>
      <c r="I441" t="s">
        <v>1206</v>
      </c>
      <c r="J441" t="s">
        <v>1030</v>
      </c>
      <c r="K441" t="s">
        <v>1031</v>
      </c>
    </row>
    <row r="442" spans="1:11" x14ac:dyDescent="0.25">
      <c r="A442" t="s">
        <v>441</v>
      </c>
      <c r="B442" s="1">
        <v>45771</v>
      </c>
      <c r="C442">
        <v>2025</v>
      </c>
      <c r="D442" t="s">
        <v>1216</v>
      </c>
      <c r="E442" t="s">
        <v>1210</v>
      </c>
      <c r="F442" t="s">
        <v>1102</v>
      </c>
      <c r="G442" t="s">
        <v>1011</v>
      </c>
      <c r="H442" s="2">
        <v>25000</v>
      </c>
      <c r="I442" t="s">
        <v>1206</v>
      </c>
      <c r="J442" t="s">
        <v>1030</v>
      </c>
      <c r="K442" t="s">
        <v>1031</v>
      </c>
    </row>
    <row r="443" spans="1:11" x14ac:dyDescent="0.25">
      <c r="A443" t="s">
        <v>442</v>
      </c>
      <c r="B443" s="1">
        <v>45762</v>
      </c>
      <c r="C443">
        <v>2025</v>
      </c>
      <c r="D443" t="s">
        <v>1216</v>
      </c>
      <c r="E443" t="s">
        <v>1208</v>
      </c>
      <c r="F443" t="s">
        <v>1143</v>
      </c>
      <c r="G443" t="s">
        <v>1198</v>
      </c>
      <c r="H443" s="2">
        <v>4000</v>
      </c>
      <c r="I443" t="s">
        <v>1212</v>
      </c>
      <c r="J443" t="s">
        <v>1030</v>
      </c>
      <c r="K443" t="s">
        <v>1031</v>
      </c>
    </row>
    <row r="444" spans="1:11" x14ac:dyDescent="0.25">
      <c r="A444" t="s">
        <v>443</v>
      </c>
      <c r="B444" s="1">
        <v>45763</v>
      </c>
      <c r="C444">
        <v>2025</v>
      </c>
      <c r="D444" t="s">
        <v>1216</v>
      </c>
      <c r="E444" t="s">
        <v>1208</v>
      </c>
      <c r="F444" t="s">
        <v>1119</v>
      </c>
      <c r="G444" t="s">
        <v>1011</v>
      </c>
      <c r="H444" s="2">
        <v>25000</v>
      </c>
      <c r="I444" t="s">
        <v>1206</v>
      </c>
      <c r="J444" t="s">
        <v>1030</v>
      </c>
      <c r="K444" t="s">
        <v>1031</v>
      </c>
    </row>
    <row r="445" spans="1:11" x14ac:dyDescent="0.25">
      <c r="A445" t="s">
        <v>444</v>
      </c>
      <c r="B445" s="1">
        <v>45763</v>
      </c>
      <c r="C445">
        <v>2025</v>
      </c>
      <c r="D445" t="s">
        <v>1216</v>
      </c>
      <c r="E445" t="s">
        <v>1208</v>
      </c>
      <c r="F445" t="s">
        <v>1021</v>
      </c>
      <c r="G445" t="s">
        <v>1010</v>
      </c>
      <c r="H445" s="2">
        <v>5000</v>
      </c>
      <c r="I445" t="s">
        <v>1211</v>
      </c>
      <c r="J445" t="s">
        <v>1030</v>
      </c>
      <c r="K445" t="s">
        <v>1031</v>
      </c>
    </row>
    <row r="446" spans="1:11" x14ac:dyDescent="0.25">
      <c r="A446" t="s">
        <v>445</v>
      </c>
      <c r="B446" s="1">
        <v>45765</v>
      </c>
      <c r="C446">
        <v>2025</v>
      </c>
      <c r="D446" t="s">
        <v>1216</v>
      </c>
      <c r="E446" t="s">
        <v>1208</v>
      </c>
      <c r="F446" t="s">
        <v>1102</v>
      </c>
      <c r="G446" t="s">
        <v>1011</v>
      </c>
      <c r="H446" s="2">
        <v>25000</v>
      </c>
      <c r="I446" t="s">
        <v>1206</v>
      </c>
      <c r="J446" t="s">
        <v>1030</v>
      </c>
      <c r="K446" t="s">
        <v>1031</v>
      </c>
    </row>
    <row r="447" spans="1:11" x14ac:dyDescent="0.25">
      <c r="A447" t="s">
        <v>446</v>
      </c>
      <c r="B447" s="1">
        <v>45764</v>
      </c>
      <c r="C447">
        <v>2025</v>
      </c>
      <c r="D447" t="s">
        <v>1216</v>
      </c>
      <c r="E447" t="s">
        <v>1208</v>
      </c>
      <c r="F447" t="s">
        <v>1102</v>
      </c>
      <c r="G447" t="s">
        <v>1011</v>
      </c>
      <c r="H447" s="2">
        <v>25000</v>
      </c>
      <c r="I447" t="s">
        <v>1206</v>
      </c>
      <c r="J447" t="s">
        <v>1030</v>
      </c>
      <c r="K447" t="s">
        <v>1031</v>
      </c>
    </row>
    <row r="448" spans="1:11" x14ac:dyDescent="0.25">
      <c r="A448" t="s">
        <v>447</v>
      </c>
      <c r="B448" s="1">
        <v>45768</v>
      </c>
      <c r="C448">
        <v>2025</v>
      </c>
      <c r="D448" t="s">
        <v>1216</v>
      </c>
      <c r="E448" t="s">
        <v>1208</v>
      </c>
      <c r="F448" t="s">
        <v>1102</v>
      </c>
      <c r="G448" t="s">
        <v>1011</v>
      </c>
      <c r="H448" s="2">
        <v>25000</v>
      </c>
      <c r="I448" t="s">
        <v>1211</v>
      </c>
      <c r="J448" t="s">
        <v>1030</v>
      </c>
      <c r="K448" t="s">
        <v>1031</v>
      </c>
    </row>
    <row r="449" spans="1:11" x14ac:dyDescent="0.25">
      <c r="A449" t="s">
        <v>448</v>
      </c>
      <c r="B449" s="1">
        <v>45769</v>
      </c>
      <c r="C449">
        <v>2025</v>
      </c>
      <c r="D449" t="s">
        <v>1216</v>
      </c>
      <c r="E449" t="s">
        <v>1210</v>
      </c>
      <c r="F449" t="s">
        <v>1018</v>
      </c>
      <c r="G449" t="s">
        <v>1013</v>
      </c>
      <c r="H449" s="2">
        <v>2000</v>
      </c>
      <c r="I449" t="s">
        <v>1206</v>
      </c>
      <c r="J449" t="s">
        <v>1030</v>
      </c>
      <c r="K449" t="s">
        <v>1031</v>
      </c>
    </row>
    <row r="450" spans="1:11" x14ac:dyDescent="0.25">
      <c r="A450" t="s">
        <v>449</v>
      </c>
      <c r="B450" s="1">
        <v>45771</v>
      </c>
      <c r="C450">
        <v>2025</v>
      </c>
      <c r="D450" t="s">
        <v>1216</v>
      </c>
      <c r="E450" t="s">
        <v>1210</v>
      </c>
      <c r="F450" t="s">
        <v>1132</v>
      </c>
      <c r="G450" t="s">
        <v>1012</v>
      </c>
      <c r="H450" s="2">
        <v>9900</v>
      </c>
      <c r="I450" t="s">
        <v>1206</v>
      </c>
      <c r="J450" t="s">
        <v>1030</v>
      </c>
      <c r="K450" t="s">
        <v>1031</v>
      </c>
    </row>
    <row r="451" spans="1:11" x14ac:dyDescent="0.25">
      <c r="A451" t="s">
        <v>450</v>
      </c>
      <c r="B451" s="1">
        <v>45771</v>
      </c>
      <c r="C451">
        <v>2025</v>
      </c>
      <c r="D451" t="s">
        <v>1216</v>
      </c>
      <c r="E451" t="s">
        <v>1210</v>
      </c>
      <c r="F451" t="s">
        <v>1144</v>
      </c>
      <c r="G451" t="s">
        <v>1198</v>
      </c>
      <c r="H451" s="2">
        <v>42000</v>
      </c>
      <c r="I451" t="s">
        <v>1211</v>
      </c>
      <c r="J451" t="s">
        <v>1030</v>
      </c>
      <c r="K451" t="s">
        <v>1031</v>
      </c>
    </row>
    <row r="452" spans="1:11" x14ac:dyDescent="0.25">
      <c r="A452" t="s">
        <v>451</v>
      </c>
      <c r="B452" s="1">
        <v>45410</v>
      </c>
      <c r="C452">
        <v>2024</v>
      </c>
      <c r="D452" t="s">
        <v>1216</v>
      </c>
      <c r="E452" t="s">
        <v>1210</v>
      </c>
      <c r="F452" t="s">
        <v>1035</v>
      </c>
      <c r="G452" t="s">
        <v>1197</v>
      </c>
      <c r="H452" s="2">
        <v>13000</v>
      </c>
      <c r="I452" t="s">
        <v>1206</v>
      </c>
      <c r="J452" t="s">
        <v>1030</v>
      </c>
      <c r="K452" t="s">
        <v>1031</v>
      </c>
    </row>
    <row r="453" spans="1:11" x14ac:dyDescent="0.25">
      <c r="A453" t="s">
        <v>452</v>
      </c>
      <c r="B453" s="1">
        <v>45769</v>
      </c>
      <c r="C453">
        <v>2025</v>
      </c>
      <c r="D453" t="s">
        <v>1216</v>
      </c>
      <c r="E453" t="s">
        <v>1210</v>
      </c>
      <c r="F453" t="s">
        <v>1035</v>
      </c>
      <c r="G453" t="s">
        <v>1197</v>
      </c>
      <c r="H453" s="2">
        <v>13000</v>
      </c>
      <c r="I453" t="s">
        <v>1206</v>
      </c>
      <c r="J453" t="s">
        <v>1030</v>
      </c>
      <c r="K453" t="s">
        <v>1031</v>
      </c>
    </row>
    <row r="454" spans="1:11" x14ac:dyDescent="0.25">
      <c r="A454" t="s">
        <v>453</v>
      </c>
      <c r="B454" s="1">
        <v>45775</v>
      </c>
      <c r="C454">
        <v>2025</v>
      </c>
      <c r="D454" t="s">
        <v>1216</v>
      </c>
      <c r="E454" t="s">
        <v>1210</v>
      </c>
      <c r="F454" t="s">
        <v>1120</v>
      </c>
      <c r="G454" t="s">
        <v>1014</v>
      </c>
      <c r="H454" s="2">
        <v>4500</v>
      </c>
      <c r="I454" t="s">
        <v>1206</v>
      </c>
      <c r="J454" t="s">
        <v>1030</v>
      </c>
      <c r="K454" t="s">
        <v>1031</v>
      </c>
    </row>
    <row r="455" spans="1:11" x14ac:dyDescent="0.25">
      <c r="A455" t="s">
        <v>454</v>
      </c>
      <c r="B455" s="1">
        <v>45775</v>
      </c>
      <c r="C455">
        <v>2025</v>
      </c>
      <c r="D455" t="s">
        <v>1216</v>
      </c>
      <c r="E455" t="s">
        <v>1210</v>
      </c>
      <c r="F455" t="s">
        <v>1102</v>
      </c>
      <c r="G455" t="s">
        <v>1011</v>
      </c>
      <c r="H455" s="2">
        <v>27000</v>
      </c>
      <c r="I455" t="s">
        <v>1206</v>
      </c>
      <c r="J455" t="s">
        <v>1030</v>
      </c>
      <c r="K455" t="s">
        <v>1031</v>
      </c>
    </row>
    <row r="456" spans="1:11" x14ac:dyDescent="0.25">
      <c r="A456" t="s">
        <v>455</v>
      </c>
      <c r="B456" s="1">
        <v>45776</v>
      </c>
      <c r="C456">
        <v>2025</v>
      </c>
      <c r="D456" t="s">
        <v>1216</v>
      </c>
      <c r="E456" t="s">
        <v>1213</v>
      </c>
      <c r="F456" t="s">
        <v>1100</v>
      </c>
      <c r="G456" t="s">
        <v>1010</v>
      </c>
      <c r="H456" s="2">
        <v>6000</v>
      </c>
      <c r="I456" t="s">
        <v>1206</v>
      </c>
      <c r="J456" t="s">
        <v>1030</v>
      </c>
      <c r="K456" t="s">
        <v>1031</v>
      </c>
    </row>
    <row r="457" spans="1:11" x14ac:dyDescent="0.25">
      <c r="A457" t="s">
        <v>456</v>
      </c>
      <c r="B457" s="1">
        <v>45776</v>
      </c>
      <c r="C457">
        <v>2025</v>
      </c>
      <c r="D457" t="s">
        <v>1216</v>
      </c>
      <c r="E457" t="s">
        <v>1213</v>
      </c>
      <c r="F457" t="s">
        <v>1023</v>
      </c>
      <c r="G457" t="s">
        <v>1201</v>
      </c>
      <c r="H457" s="2">
        <v>10000</v>
      </c>
      <c r="I457" t="s">
        <v>1212</v>
      </c>
      <c r="J457" t="s">
        <v>1030</v>
      </c>
      <c r="K457" t="s">
        <v>1031</v>
      </c>
    </row>
    <row r="458" spans="1:11" x14ac:dyDescent="0.25">
      <c r="A458" t="s">
        <v>457</v>
      </c>
      <c r="B458" s="1">
        <v>45776</v>
      </c>
      <c r="C458">
        <v>2025</v>
      </c>
      <c r="D458" t="s">
        <v>1216</v>
      </c>
      <c r="E458" t="s">
        <v>1213</v>
      </c>
      <c r="F458" t="s">
        <v>1045</v>
      </c>
      <c r="G458" t="s">
        <v>1197</v>
      </c>
      <c r="H458" s="2">
        <v>40000</v>
      </c>
      <c r="I458" t="s">
        <v>1211</v>
      </c>
      <c r="J458" t="s">
        <v>1030</v>
      </c>
      <c r="K458" t="s">
        <v>1031</v>
      </c>
    </row>
    <row r="459" spans="1:11" x14ac:dyDescent="0.25">
      <c r="A459" t="s">
        <v>458</v>
      </c>
      <c r="B459" s="1">
        <v>45777</v>
      </c>
      <c r="C459">
        <v>2025</v>
      </c>
      <c r="D459" t="s">
        <v>1216</v>
      </c>
      <c r="E459" t="s">
        <v>1213</v>
      </c>
      <c r="F459" t="s">
        <v>1102</v>
      </c>
      <c r="G459" t="s">
        <v>1011</v>
      </c>
      <c r="H459" s="2">
        <v>22000</v>
      </c>
      <c r="I459" t="s">
        <v>1206</v>
      </c>
      <c r="J459" t="s">
        <v>1030</v>
      </c>
      <c r="K459" t="s">
        <v>1031</v>
      </c>
    </row>
    <row r="460" spans="1:11" x14ac:dyDescent="0.25">
      <c r="A460" t="s">
        <v>459</v>
      </c>
      <c r="B460" s="1">
        <v>45762</v>
      </c>
      <c r="C460">
        <v>2025</v>
      </c>
      <c r="D460" t="s">
        <v>1216</v>
      </c>
      <c r="E460" t="s">
        <v>1208</v>
      </c>
      <c r="F460" t="s">
        <v>1145</v>
      </c>
      <c r="G460" t="s">
        <v>1010</v>
      </c>
      <c r="H460" s="2">
        <v>12000</v>
      </c>
      <c r="I460" t="s">
        <v>1212</v>
      </c>
      <c r="J460" t="s">
        <v>1030</v>
      </c>
      <c r="K460" t="s">
        <v>1031</v>
      </c>
    </row>
    <row r="461" spans="1:11" x14ac:dyDescent="0.25">
      <c r="A461" t="s">
        <v>460</v>
      </c>
      <c r="B461" s="1">
        <v>45777</v>
      </c>
      <c r="C461">
        <v>2025</v>
      </c>
      <c r="D461" t="s">
        <v>1216</v>
      </c>
      <c r="E461" t="s">
        <v>1213</v>
      </c>
      <c r="F461" t="s">
        <v>1025</v>
      </c>
      <c r="G461" t="s">
        <v>1014</v>
      </c>
      <c r="H461" s="2">
        <v>5000</v>
      </c>
      <c r="I461" t="s">
        <v>1206</v>
      </c>
      <c r="J461" t="s">
        <v>1030</v>
      </c>
      <c r="K461" t="s">
        <v>1031</v>
      </c>
    </row>
    <row r="462" spans="1:11" x14ac:dyDescent="0.25">
      <c r="A462" t="s">
        <v>461</v>
      </c>
      <c r="B462" s="1">
        <v>45778</v>
      </c>
      <c r="C462">
        <v>2025</v>
      </c>
      <c r="D462" t="s">
        <v>1217</v>
      </c>
      <c r="E462" t="s">
        <v>1205</v>
      </c>
      <c r="F462" t="s">
        <v>1102</v>
      </c>
      <c r="G462" t="s">
        <v>1011</v>
      </c>
      <c r="H462" s="2">
        <v>25000</v>
      </c>
      <c r="I462" t="s">
        <v>1211</v>
      </c>
      <c r="J462" t="s">
        <v>1030</v>
      </c>
      <c r="K462" t="s">
        <v>1031</v>
      </c>
    </row>
    <row r="463" spans="1:11" x14ac:dyDescent="0.25">
      <c r="A463" t="s">
        <v>462</v>
      </c>
      <c r="B463" s="1">
        <v>45779</v>
      </c>
      <c r="C463">
        <v>2025</v>
      </c>
      <c r="D463" t="s">
        <v>1217</v>
      </c>
      <c r="E463" t="s">
        <v>1205</v>
      </c>
      <c r="F463" t="s">
        <v>1018</v>
      </c>
      <c r="G463" t="s">
        <v>1013</v>
      </c>
      <c r="H463" s="2">
        <v>4000</v>
      </c>
      <c r="I463" t="s">
        <v>1206</v>
      </c>
      <c r="J463" t="s">
        <v>1030</v>
      </c>
      <c r="K463" t="s">
        <v>1031</v>
      </c>
    </row>
    <row r="464" spans="1:11" x14ac:dyDescent="0.25">
      <c r="A464" t="s">
        <v>463</v>
      </c>
      <c r="B464" s="1">
        <v>45782</v>
      </c>
      <c r="C464">
        <v>2025</v>
      </c>
      <c r="D464" t="s">
        <v>1217</v>
      </c>
      <c r="E464" t="s">
        <v>1205</v>
      </c>
      <c r="F464" t="s">
        <v>1035</v>
      </c>
      <c r="G464" t="s">
        <v>1197</v>
      </c>
      <c r="H464" s="2">
        <v>13000</v>
      </c>
      <c r="I464" t="s">
        <v>1212</v>
      </c>
      <c r="J464" t="s">
        <v>1030</v>
      </c>
      <c r="K464" t="s">
        <v>1031</v>
      </c>
    </row>
    <row r="465" spans="1:11" x14ac:dyDescent="0.25">
      <c r="A465" t="s">
        <v>464</v>
      </c>
      <c r="B465" s="1">
        <v>45782</v>
      </c>
      <c r="C465">
        <v>2025</v>
      </c>
      <c r="D465" t="s">
        <v>1217</v>
      </c>
      <c r="E465" t="s">
        <v>1205</v>
      </c>
      <c r="F465" t="s">
        <v>1102</v>
      </c>
      <c r="G465" t="s">
        <v>1011</v>
      </c>
      <c r="H465" s="2">
        <v>25000</v>
      </c>
      <c r="I465" t="s">
        <v>1211</v>
      </c>
      <c r="J465" t="s">
        <v>1030</v>
      </c>
      <c r="K465" t="s">
        <v>1031</v>
      </c>
    </row>
    <row r="466" spans="1:11" x14ac:dyDescent="0.25">
      <c r="A466" t="s">
        <v>465</v>
      </c>
      <c r="B466" s="1">
        <v>45782</v>
      </c>
      <c r="C466">
        <v>2025</v>
      </c>
      <c r="D466" t="s">
        <v>1217</v>
      </c>
      <c r="E466" t="s">
        <v>1205</v>
      </c>
      <c r="F466" t="s">
        <v>1119</v>
      </c>
      <c r="G466" t="s">
        <v>1011</v>
      </c>
      <c r="H466" s="2">
        <v>20000</v>
      </c>
      <c r="I466" t="s">
        <v>1206</v>
      </c>
      <c r="J466" t="s">
        <v>1030</v>
      </c>
      <c r="K466" t="s">
        <v>1031</v>
      </c>
    </row>
    <row r="467" spans="1:11" x14ac:dyDescent="0.25">
      <c r="A467" t="s">
        <v>466</v>
      </c>
      <c r="B467" s="1">
        <v>45783</v>
      </c>
      <c r="C467">
        <v>2025</v>
      </c>
      <c r="D467" t="s">
        <v>1217</v>
      </c>
      <c r="E467" t="s">
        <v>1205</v>
      </c>
      <c r="F467" t="s">
        <v>1018</v>
      </c>
      <c r="G467" t="s">
        <v>1013</v>
      </c>
      <c r="H467" s="2">
        <v>6000</v>
      </c>
      <c r="I467" t="s">
        <v>1206</v>
      </c>
      <c r="J467" t="s">
        <v>1030</v>
      </c>
      <c r="K467" t="s">
        <v>1031</v>
      </c>
    </row>
    <row r="468" spans="1:11" x14ac:dyDescent="0.25">
      <c r="A468" t="s">
        <v>467</v>
      </c>
      <c r="B468" s="1">
        <v>45783</v>
      </c>
      <c r="C468">
        <v>2025</v>
      </c>
      <c r="D468" t="s">
        <v>1217</v>
      </c>
      <c r="E468" t="s">
        <v>1205</v>
      </c>
      <c r="F468" t="s">
        <v>1033</v>
      </c>
      <c r="G468" t="s">
        <v>1014</v>
      </c>
      <c r="H468" s="2">
        <v>116300</v>
      </c>
      <c r="I468" t="s">
        <v>1206</v>
      </c>
      <c r="J468" t="s">
        <v>1030</v>
      </c>
      <c r="K468" t="s">
        <v>1031</v>
      </c>
    </row>
    <row r="469" spans="1:11" x14ac:dyDescent="0.25">
      <c r="A469" t="s">
        <v>468</v>
      </c>
      <c r="B469" s="1">
        <v>45784</v>
      </c>
      <c r="C469">
        <v>2025</v>
      </c>
      <c r="D469" t="s">
        <v>1217</v>
      </c>
      <c r="E469" t="s">
        <v>1205</v>
      </c>
      <c r="F469" t="s">
        <v>1018</v>
      </c>
      <c r="G469" t="s">
        <v>1013</v>
      </c>
      <c r="H469" s="2">
        <v>2000</v>
      </c>
      <c r="I469" t="s">
        <v>1206</v>
      </c>
      <c r="J469" t="s">
        <v>1030</v>
      </c>
      <c r="K469" t="s">
        <v>1031</v>
      </c>
    </row>
    <row r="470" spans="1:11" x14ac:dyDescent="0.25">
      <c r="A470" t="s">
        <v>469</v>
      </c>
      <c r="B470" s="1">
        <v>45779</v>
      </c>
      <c r="C470">
        <v>2025</v>
      </c>
      <c r="D470" t="s">
        <v>1217</v>
      </c>
      <c r="E470" t="s">
        <v>1205</v>
      </c>
      <c r="F470" t="s">
        <v>1049</v>
      </c>
      <c r="G470" t="s">
        <v>1199</v>
      </c>
      <c r="H470" s="2">
        <v>24000</v>
      </c>
      <c r="I470" t="s">
        <v>1206</v>
      </c>
      <c r="J470" t="s">
        <v>1030</v>
      </c>
      <c r="K470" t="s">
        <v>1031</v>
      </c>
    </row>
    <row r="471" spans="1:11" x14ac:dyDescent="0.25">
      <c r="A471" t="s">
        <v>470</v>
      </c>
      <c r="B471" s="1">
        <v>45782</v>
      </c>
      <c r="C471">
        <v>2025</v>
      </c>
      <c r="D471" t="s">
        <v>1217</v>
      </c>
      <c r="E471" t="s">
        <v>1205</v>
      </c>
      <c r="F471" t="s">
        <v>1037</v>
      </c>
      <c r="G471" t="s">
        <v>1199</v>
      </c>
      <c r="H471" s="2">
        <v>24000</v>
      </c>
      <c r="I471" t="s">
        <v>1206</v>
      </c>
      <c r="J471" t="s">
        <v>1030</v>
      </c>
      <c r="K471" t="s">
        <v>1031</v>
      </c>
    </row>
    <row r="472" spans="1:11" x14ac:dyDescent="0.25">
      <c r="A472" t="s">
        <v>471</v>
      </c>
      <c r="B472" s="1">
        <v>45785</v>
      </c>
      <c r="C472">
        <v>2025</v>
      </c>
      <c r="D472" t="s">
        <v>1217</v>
      </c>
      <c r="E472" t="s">
        <v>1207</v>
      </c>
      <c r="F472" t="s">
        <v>1100</v>
      </c>
      <c r="G472" t="s">
        <v>1010</v>
      </c>
      <c r="H472" s="2">
        <v>15000</v>
      </c>
      <c r="I472" t="s">
        <v>1206</v>
      </c>
      <c r="J472" t="s">
        <v>1030</v>
      </c>
      <c r="K472" t="s">
        <v>1031</v>
      </c>
    </row>
    <row r="473" spans="1:11" x14ac:dyDescent="0.25">
      <c r="A473" t="s">
        <v>472</v>
      </c>
      <c r="B473" s="1">
        <v>45785</v>
      </c>
      <c r="C473">
        <v>2025</v>
      </c>
      <c r="D473" t="s">
        <v>1217</v>
      </c>
      <c r="E473" t="s">
        <v>1207</v>
      </c>
      <c r="F473" t="s">
        <v>1146</v>
      </c>
      <c r="G473" t="s">
        <v>1010</v>
      </c>
      <c r="H473" s="2">
        <v>50000</v>
      </c>
      <c r="I473" t="s">
        <v>1206</v>
      </c>
      <c r="J473" t="s">
        <v>1030</v>
      </c>
      <c r="K473" t="s">
        <v>1031</v>
      </c>
    </row>
    <row r="474" spans="1:11" x14ac:dyDescent="0.25">
      <c r="A474" t="s">
        <v>473</v>
      </c>
      <c r="B474" s="1">
        <v>45789</v>
      </c>
      <c r="C474">
        <v>2025</v>
      </c>
      <c r="D474" t="s">
        <v>1217</v>
      </c>
      <c r="E474" t="s">
        <v>1207</v>
      </c>
      <c r="F474" t="s">
        <v>1035</v>
      </c>
      <c r="G474" t="s">
        <v>1197</v>
      </c>
      <c r="H474" s="2">
        <v>13000</v>
      </c>
      <c r="I474" t="s">
        <v>1206</v>
      </c>
      <c r="J474" t="s">
        <v>1030</v>
      </c>
      <c r="K474" t="s">
        <v>1031</v>
      </c>
    </row>
    <row r="475" spans="1:11" x14ac:dyDescent="0.25">
      <c r="A475" t="s">
        <v>474</v>
      </c>
      <c r="B475" s="1">
        <v>45790</v>
      </c>
      <c r="C475">
        <v>2025</v>
      </c>
      <c r="D475" t="s">
        <v>1217</v>
      </c>
      <c r="E475" t="s">
        <v>1207</v>
      </c>
      <c r="F475" t="s">
        <v>1120</v>
      </c>
      <c r="G475" t="s">
        <v>1014</v>
      </c>
      <c r="H475" s="2">
        <v>4500</v>
      </c>
      <c r="I475" t="s">
        <v>1212</v>
      </c>
      <c r="J475" t="s">
        <v>1030</v>
      </c>
      <c r="K475" t="s">
        <v>1031</v>
      </c>
    </row>
    <row r="476" spans="1:11" x14ac:dyDescent="0.25">
      <c r="A476" t="s">
        <v>475</v>
      </c>
      <c r="B476" s="1">
        <v>45791</v>
      </c>
      <c r="C476">
        <v>2025</v>
      </c>
      <c r="D476" t="s">
        <v>1217</v>
      </c>
      <c r="E476" t="s">
        <v>1207</v>
      </c>
      <c r="F476" t="s">
        <v>1230</v>
      </c>
      <c r="G476" t="s">
        <v>1012</v>
      </c>
      <c r="H476" s="2">
        <v>60500</v>
      </c>
      <c r="I476" t="s">
        <v>1206</v>
      </c>
      <c r="J476" t="s">
        <v>1030</v>
      </c>
      <c r="K476" t="s">
        <v>1031</v>
      </c>
    </row>
    <row r="477" spans="1:11" x14ac:dyDescent="0.25">
      <c r="A477" t="s">
        <v>476</v>
      </c>
      <c r="B477" s="1">
        <v>45791</v>
      </c>
      <c r="C477">
        <v>2025</v>
      </c>
      <c r="D477" t="s">
        <v>1217</v>
      </c>
      <c r="E477" t="s">
        <v>1207</v>
      </c>
      <c r="F477" t="s">
        <v>1147</v>
      </c>
      <c r="G477" t="s">
        <v>1010</v>
      </c>
      <c r="H477" s="2">
        <v>5000</v>
      </c>
      <c r="I477" t="s">
        <v>1212</v>
      </c>
      <c r="J477" t="s">
        <v>1030</v>
      </c>
      <c r="K477" t="s">
        <v>1031</v>
      </c>
    </row>
    <row r="478" spans="1:11" x14ac:dyDescent="0.25">
      <c r="A478" t="s">
        <v>477</v>
      </c>
      <c r="B478" s="1">
        <v>45792</v>
      </c>
      <c r="C478">
        <v>2025</v>
      </c>
      <c r="D478" t="s">
        <v>1217</v>
      </c>
      <c r="E478" t="s">
        <v>1208</v>
      </c>
      <c r="F478" t="s">
        <v>1148</v>
      </c>
      <c r="G478" t="s">
        <v>1198</v>
      </c>
      <c r="H478" s="2">
        <v>30000</v>
      </c>
      <c r="I478" t="s">
        <v>1206</v>
      </c>
      <c r="J478" t="s">
        <v>1030</v>
      </c>
      <c r="K478" t="s">
        <v>1031</v>
      </c>
    </row>
    <row r="479" spans="1:11" x14ac:dyDescent="0.25">
      <c r="A479" t="s">
        <v>478</v>
      </c>
      <c r="B479" s="1">
        <v>45783</v>
      </c>
      <c r="C479">
        <v>2025</v>
      </c>
      <c r="D479" t="s">
        <v>1217</v>
      </c>
      <c r="E479" t="s">
        <v>1205</v>
      </c>
      <c r="F479" t="s">
        <v>1025</v>
      </c>
      <c r="G479" t="s">
        <v>1014</v>
      </c>
      <c r="H479" s="2">
        <v>5000</v>
      </c>
      <c r="I479" t="s">
        <v>1212</v>
      </c>
      <c r="J479" t="s">
        <v>1030</v>
      </c>
      <c r="K479" t="s">
        <v>1031</v>
      </c>
    </row>
    <row r="480" spans="1:11" x14ac:dyDescent="0.25">
      <c r="A480" t="s">
        <v>479</v>
      </c>
      <c r="B480" s="1">
        <v>45796</v>
      </c>
      <c r="C480">
        <v>2025</v>
      </c>
      <c r="D480" t="s">
        <v>1217</v>
      </c>
      <c r="E480" t="s">
        <v>1208</v>
      </c>
      <c r="F480" t="s">
        <v>1121</v>
      </c>
      <c r="G480" t="s">
        <v>1010</v>
      </c>
      <c r="H480" s="2">
        <v>25000</v>
      </c>
      <c r="I480" t="s">
        <v>1206</v>
      </c>
      <c r="J480" t="s">
        <v>1030</v>
      </c>
      <c r="K480" t="s">
        <v>1031</v>
      </c>
    </row>
    <row r="481" spans="1:11" x14ac:dyDescent="0.25">
      <c r="A481" t="s">
        <v>480</v>
      </c>
      <c r="B481" s="1">
        <v>45799</v>
      </c>
      <c r="C481">
        <v>2025</v>
      </c>
      <c r="D481" t="s">
        <v>1217</v>
      </c>
      <c r="E481" t="s">
        <v>1210</v>
      </c>
      <c r="F481" t="s">
        <v>1119</v>
      </c>
      <c r="G481" t="s">
        <v>1011</v>
      </c>
      <c r="H481" s="2">
        <v>22000</v>
      </c>
      <c r="I481" t="s">
        <v>1206</v>
      </c>
      <c r="J481" t="s">
        <v>1030</v>
      </c>
      <c r="K481" t="s">
        <v>1031</v>
      </c>
    </row>
    <row r="482" spans="1:11" x14ac:dyDescent="0.25">
      <c r="A482" t="s">
        <v>481</v>
      </c>
      <c r="B482" s="1">
        <v>45799</v>
      </c>
      <c r="C482">
        <v>2025</v>
      </c>
      <c r="D482" t="s">
        <v>1217</v>
      </c>
      <c r="E482" t="s">
        <v>1210</v>
      </c>
      <c r="F482" t="s">
        <v>1149</v>
      </c>
      <c r="G482" t="s">
        <v>1015</v>
      </c>
      <c r="H482" s="2">
        <v>12000</v>
      </c>
      <c r="I482" t="s">
        <v>1212</v>
      </c>
      <c r="J482" t="s">
        <v>1030</v>
      </c>
      <c r="K482" t="s">
        <v>1031</v>
      </c>
    </row>
    <row r="483" spans="1:11" x14ac:dyDescent="0.25">
      <c r="A483" t="s">
        <v>482</v>
      </c>
      <c r="B483" s="1">
        <v>45799</v>
      </c>
      <c r="C483">
        <v>2025</v>
      </c>
      <c r="D483" t="s">
        <v>1217</v>
      </c>
      <c r="E483" t="s">
        <v>1210</v>
      </c>
      <c r="F483" t="s">
        <v>1150</v>
      </c>
      <c r="G483" t="s">
        <v>1015</v>
      </c>
      <c r="H483" s="2">
        <v>105000</v>
      </c>
      <c r="I483" t="s">
        <v>1206</v>
      </c>
      <c r="J483" t="s">
        <v>1030</v>
      </c>
      <c r="K483" t="s">
        <v>1031</v>
      </c>
    </row>
    <row r="484" spans="1:11" x14ac:dyDescent="0.25">
      <c r="A484" t="s">
        <v>483</v>
      </c>
      <c r="B484" s="1">
        <v>45799</v>
      </c>
      <c r="C484">
        <v>2025</v>
      </c>
      <c r="D484" t="s">
        <v>1217</v>
      </c>
      <c r="E484" t="s">
        <v>1210</v>
      </c>
      <c r="F484" t="s">
        <v>1151</v>
      </c>
      <c r="G484" t="s">
        <v>1010</v>
      </c>
      <c r="H484" s="2">
        <v>10000</v>
      </c>
      <c r="I484" t="s">
        <v>1212</v>
      </c>
      <c r="J484" t="s">
        <v>1030</v>
      </c>
      <c r="K484" t="s">
        <v>1031</v>
      </c>
    </row>
    <row r="485" spans="1:11" x14ac:dyDescent="0.25">
      <c r="A485" t="s">
        <v>484</v>
      </c>
      <c r="B485" s="1">
        <v>45803</v>
      </c>
      <c r="C485">
        <v>2025</v>
      </c>
      <c r="D485" t="s">
        <v>1217</v>
      </c>
      <c r="E485" t="s">
        <v>1210</v>
      </c>
      <c r="F485" t="s">
        <v>1018</v>
      </c>
      <c r="G485" t="s">
        <v>1013</v>
      </c>
      <c r="H485" s="2">
        <v>2000</v>
      </c>
      <c r="I485" t="s">
        <v>1212</v>
      </c>
      <c r="J485" t="s">
        <v>1030</v>
      </c>
      <c r="K485" t="s">
        <v>1031</v>
      </c>
    </row>
    <row r="486" spans="1:11" x14ac:dyDescent="0.25">
      <c r="A486" t="s">
        <v>485</v>
      </c>
      <c r="B486" s="1">
        <v>45804</v>
      </c>
      <c r="C486">
        <v>2025</v>
      </c>
      <c r="D486" t="s">
        <v>1217</v>
      </c>
      <c r="E486" t="s">
        <v>1210</v>
      </c>
      <c r="F486" t="s">
        <v>1152</v>
      </c>
      <c r="G486" t="s">
        <v>1198</v>
      </c>
      <c r="H486" s="2">
        <v>7800</v>
      </c>
      <c r="I486" t="s">
        <v>1212</v>
      </c>
      <c r="J486" t="s">
        <v>1030</v>
      </c>
      <c r="K486" t="s">
        <v>1031</v>
      </c>
    </row>
    <row r="487" spans="1:11" x14ac:dyDescent="0.25">
      <c r="A487" t="s">
        <v>486</v>
      </c>
      <c r="B487" s="1">
        <v>45805</v>
      </c>
      <c r="C487">
        <v>2025</v>
      </c>
      <c r="D487" t="s">
        <v>1217</v>
      </c>
      <c r="E487" t="s">
        <v>1210</v>
      </c>
      <c r="F487" t="s">
        <v>1153</v>
      </c>
      <c r="G487" t="s">
        <v>1010</v>
      </c>
      <c r="H487" s="2">
        <v>15000</v>
      </c>
      <c r="I487" t="s">
        <v>1212</v>
      </c>
      <c r="J487" t="s">
        <v>1030</v>
      </c>
      <c r="K487" t="s">
        <v>1031</v>
      </c>
    </row>
    <row r="488" spans="1:11" x14ac:dyDescent="0.25">
      <c r="A488" t="s">
        <v>487</v>
      </c>
      <c r="B488" s="1">
        <v>45805</v>
      </c>
      <c r="C488">
        <v>2025</v>
      </c>
      <c r="D488" t="s">
        <v>1217</v>
      </c>
      <c r="E488" t="s">
        <v>1210</v>
      </c>
      <c r="F488" t="s">
        <v>1021</v>
      </c>
      <c r="G488" t="s">
        <v>1010</v>
      </c>
      <c r="H488" s="2">
        <v>3000</v>
      </c>
      <c r="I488" t="s">
        <v>1212</v>
      </c>
      <c r="J488" t="s">
        <v>1030</v>
      </c>
      <c r="K488" t="s">
        <v>1031</v>
      </c>
    </row>
    <row r="489" spans="1:11" x14ac:dyDescent="0.25">
      <c r="A489" t="s">
        <v>488</v>
      </c>
      <c r="B489" s="1">
        <v>45806</v>
      </c>
      <c r="C489">
        <v>2025</v>
      </c>
      <c r="D489" t="s">
        <v>1217</v>
      </c>
      <c r="E489" t="s">
        <v>1213</v>
      </c>
      <c r="F489" t="s">
        <v>1040</v>
      </c>
      <c r="G489" t="s">
        <v>1199</v>
      </c>
      <c r="H489" s="2">
        <v>24000</v>
      </c>
      <c r="I489" t="s">
        <v>1206</v>
      </c>
      <c r="J489" t="s">
        <v>1030</v>
      </c>
      <c r="K489" t="s">
        <v>1031</v>
      </c>
    </row>
    <row r="490" spans="1:11" x14ac:dyDescent="0.25">
      <c r="A490" t="s">
        <v>489</v>
      </c>
      <c r="B490" s="1">
        <v>45806</v>
      </c>
      <c r="C490">
        <v>2025</v>
      </c>
      <c r="D490" t="s">
        <v>1217</v>
      </c>
      <c r="E490" t="s">
        <v>1213</v>
      </c>
      <c r="F490" t="s">
        <v>1068</v>
      </c>
      <c r="G490" t="s">
        <v>1011</v>
      </c>
      <c r="H490" s="2">
        <v>22000</v>
      </c>
      <c r="I490" t="s">
        <v>1206</v>
      </c>
      <c r="J490" t="s">
        <v>1030</v>
      </c>
      <c r="K490" t="s">
        <v>1031</v>
      </c>
    </row>
    <row r="491" spans="1:11" x14ac:dyDescent="0.25">
      <c r="A491" t="s">
        <v>490</v>
      </c>
      <c r="B491" s="1">
        <v>45806</v>
      </c>
      <c r="C491">
        <v>2025</v>
      </c>
      <c r="D491" t="s">
        <v>1217</v>
      </c>
      <c r="E491" t="s">
        <v>1213</v>
      </c>
      <c r="F491" t="s">
        <v>1119</v>
      </c>
      <c r="G491" t="s">
        <v>1011</v>
      </c>
      <c r="H491" s="2">
        <v>25000</v>
      </c>
      <c r="I491" t="s">
        <v>1206</v>
      </c>
      <c r="J491" t="s">
        <v>1030</v>
      </c>
      <c r="K491" t="s">
        <v>1031</v>
      </c>
    </row>
    <row r="492" spans="1:11" x14ac:dyDescent="0.25">
      <c r="A492" t="s">
        <v>491</v>
      </c>
      <c r="B492" s="1">
        <v>45806</v>
      </c>
      <c r="C492">
        <v>2025</v>
      </c>
      <c r="D492" t="s">
        <v>1217</v>
      </c>
      <c r="E492" t="s">
        <v>1213</v>
      </c>
      <c r="F492" t="s">
        <v>1120</v>
      </c>
      <c r="G492" t="s">
        <v>1014</v>
      </c>
      <c r="H492" s="2">
        <v>4500</v>
      </c>
      <c r="I492" t="s">
        <v>1212</v>
      </c>
      <c r="J492" t="s">
        <v>1030</v>
      </c>
      <c r="K492" t="s">
        <v>1031</v>
      </c>
    </row>
    <row r="493" spans="1:11" x14ac:dyDescent="0.25">
      <c r="A493" t="s">
        <v>492</v>
      </c>
      <c r="B493" s="1">
        <v>45807</v>
      </c>
      <c r="C493">
        <v>2025</v>
      </c>
      <c r="D493" t="s">
        <v>1217</v>
      </c>
      <c r="E493" t="s">
        <v>1213</v>
      </c>
      <c r="F493" t="s">
        <v>1023</v>
      </c>
      <c r="G493" t="s">
        <v>1201</v>
      </c>
      <c r="H493" s="2">
        <v>10000</v>
      </c>
      <c r="I493" t="s">
        <v>1212</v>
      </c>
      <c r="J493" t="s">
        <v>1030</v>
      </c>
      <c r="K493" t="s">
        <v>1031</v>
      </c>
    </row>
    <row r="494" spans="1:11" x14ac:dyDescent="0.25">
      <c r="A494" t="s">
        <v>493</v>
      </c>
      <c r="B494" s="1">
        <v>45807</v>
      </c>
      <c r="C494">
        <v>2025</v>
      </c>
      <c r="D494" t="s">
        <v>1217</v>
      </c>
      <c r="E494" t="s">
        <v>1213</v>
      </c>
      <c r="F494" t="s">
        <v>1098</v>
      </c>
      <c r="G494" t="s">
        <v>1015</v>
      </c>
      <c r="H494" s="2">
        <v>3000</v>
      </c>
      <c r="I494" t="s">
        <v>1206</v>
      </c>
      <c r="J494" t="s">
        <v>1030</v>
      </c>
      <c r="K494" t="s">
        <v>1031</v>
      </c>
    </row>
    <row r="495" spans="1:11" x14ac:dyDescent="0.25">
      <c r="A495" t="s">
        <v>494</v>
      </c>
      <c r="B495" s="1">
        <v>45803</v>
      </c>
      <c r="C495">
        <v>2025</v>
      </c>
      <c r="D495" t="s">
        <v>1217</v>
      </c>
      <c r="E495" t="s">
        <v>1210</v>
      </c>
      <c r="F495" t="s">
        <v>1035</v>
      </c>
      <c r="G495" t="s">
        <v>1197</v>
      </c>
      <c r="H495" s="2">
        <v>13000</v>
      </c>
      <c r="I495" t="s">
        <v>1206</v>
      </c>
      <c r="J495" t="s">
        <v>1030</v>
      </c>
      <c r="K495" t="s">
        <v>1031</v>
      </c>
    </row>
    <row r="496" spans="1:11" x14ac:dyDescent="0.25">
      <c r="A496" t="s">
        <v>495</v>
      </c>
      <c r="B496" s="1">
        <v>45810</v>
      </c>
      <c r="C496">
        <v>2025</v>
      </c>
      <c r="D496" t="s">
        <v>1219</v>
      </c>
      <c r="E496" t="s">
        <v>1205</v>
      </c>
      <c r="F496" t="s">
        <v>1035</v>
      </c>
      <c r="G496" t="s">
        <v>1197</v>
      </c>
      <c r="H496" s="2">
        <v>13000</v>
      </c>
      <c r="I496" t="s">
        <v>1206</v>
      </c>
      <c r="J496" t="s">
        <v>1030</v>
      </c>
      <c r="K496" t="s">
        <v>1031</v>
      </c>
    </row>
    <row r="497" spans="1:11" x14ac:dyDescent="0.25">
      <c r="A497" t="s">
        <v>496</v>
      </c>
      <c r="B497" s="1">
        <v>45810</v>
      </c>
      <c r="C497">
        <v>2025</v>
      </c>
      <c r="D497" t="s">
        <v>1219</v>
      </c>
      <c r="E497" t="s">
        <v>1205</v>
      </c>
      <c r="F497" t="s">
        <v>1033</v>
      </c>
      <c r="G497" t="s">
        <v>1014</v>
      </c>
      <c r="H497" s="2">
        <v>129990</v>
      </c>
      <c r="I497" t="s">
        <v>1211</v>
      </c>
      <c r="J497" t="s">
        <v>1030</v>
      </c>
      <c r="K497" t="s">
        <v>1031</v>
      </c>
    </row>
    <row r="498" spans="1:11" x14ac:dyDescent="0.25">
      <c r="A498" t="s">
        <v>497</v>
      </c>
      <c r="B498" s="1">
        <v>45811</v>
      </c>
      <c r="C498">
        <v>2025</v>
      </c>
      <c r="D498" t="s">
        <v>1219</v>
      </c>
      <c r="E498" t="s">
        <v>1205</v>
      </c>
      <c r="F498" t="s">
        <v>1018</v>
      </c>
      <c r="G498" t="s">
        <v>1013</v>
      </c>
      <c r="H498" s="2">
        <v>4000</v>
      </c>
      <c r="I498" t="s">
        <v>1206</v>
      </c>
      <c r="J498" t="s">
        <v>1030</v>
      </c>
      <c r="K498" t="s">
        <v>1031</v>
      </c>
    </row>
    <row r="499" spans="1:11" x14ac:dyDescent="0.25">
      <c r="A499" t="s">
        <v>498</v>
      </c>
      <c r="B499" s="1">
        <v>45812</v>
      </c>
      <c r="C499">
        <v>2025</v>
      </c>
      <c r="D499" t="s">
        <v>1219</v>
      </c>
      <c r="E499" t="s">
        <v>1205</v>
      </c>
      <c r="F499" t="s">
        <v>1020</v>
      </c>
      <c r="G499" t="s">
        <v>1013</v>
      </c>
      <c r="H499" s="2">
        <v>10000</v>
      </c>
      <c r="I499" t="s">
        <v>1206</v>
      </c>
      <c r="J499" t="s">
        <v>1030</v>
      </c>
      <c r="K499" t="s">
        <v>1031</v>
      </c>
    </row>
    <row r="500" spans="1:11" x14ac:dyDescent="0.25">
      <c r="A500" t="s">
        <v>499</v>
      </c>
      <c r="B500" s="1">
        <v>45813</v>
      </c>
      <c r="C500">
        <v>2025</v>
      </c>
      <c r="D500" t="s">
        <v>1219</v>
      </c>
      <c r="E500" t="s">
        <v>1205</v>
      </c>
      <c r="F500" t="s">
        <v>1154</v>
      </c>
      <c r="G500" t="s">
        <v>1198</v>
      </c>
      <c r="H500" s="2">
        <v>60000</v>
      </c>
      <c r="I500" t="s">
        <v>1206</v>
      </c>
      <c r="J500" t="s">
        <v>1030</v>
      </c>
      <c r="K500" t="s">
        <v>1031</v>
      </c>
    </row>
    <row r="501" spans="1:11" x14ac:dyDescent="0.25">
      <c r="A501" t="s">
        <v>500</v>
      </c>
      <c r="B501" s="1">
        <v>45813</v>
      </c>
      <c r="C501">
        <v>2025</v>
      </c>
      <c r="D501" t="s">
        <v>1219</v>
      </c>
      <c r="E501" t="s">
        <v>1205</v>
      </c>
      <c r="F501" t="s">
        <v>1049</v>
      </c>
      <c r="G501" t="s">
        <v>1199</v>
      </c>
      <c r="H501" s="2">
        <v>24000</v>
      </c>
      <c r="I501" t="s">
        <v>1206</v>
      </c>
      <c r="J501" t="s">
        <v>1030</v>
      </c>
      <c r="K501" t="s">
        <v>1031</v>
      </c>
    </row>
    <row r="502" spans="1:11" x14ac:dyDescent="0.25">
      <c r="A502" t="s">
        <v>501</v>
      </c>
      <c r="B502" s="1">
        <v>45810</v>
      </c>
      <c r="C502">
        <v>2025</v>
      </c>
      <c r="D502" t="s">
        <v>1219</v>
      </c>
      <c r="E502" t="s">
        <v>1205</v>
      </c>
      <c r="F502" t="s">
        <v>1037</v>
      </c>
      <c r="G502" t="s">
        <v>1199</v>
      </c>
      <c r="H502" s="2">
        <v>24000</v>
      </c>
      <c r="I502" t="s">
        <v>1206</v>
      </c>
      <c r="J502" t="s">
        <v>1030</v>
      </c>
      <c r="K502" t="s">
        <v>1031</v>
      </c>
    </row>
    <row r="503" spans="1:11" x14ac:dyDescent="0.25">
      <c r="A503" t="s">
        <v>502</v>
      </c>
      <c r="B503" s="1">
        <v>45812</v>
      </c>
      <c r="C503">
        <v>2025</v>
      </c>
      <c r="D503" t="s">
        <v>1219</v>
      </c>
      <c r="E503" t="s">
        <v>1205</v>
      </c>
      <c r="F503" t="s">
        <v>1041</v>
      </c>
      <c r="G503" t="s">
        <v>1010</v>
      </c>
      <c r="H503" s="2">
        <v>2000</v>
      </c>
      <c r="I503" t="s">
        <v>1206</v>
      </c>
      <c r="J503" t="s">
        <v>1030</v>
      </c>
      <c r="K503" t="s">
        <v>1031</v>
      </c>
    </row>
    <row r="504" spans="1:11" x14ac:dyDescent="0.25">
      <c r="A504" t="s">
        <v>503</v>
      </c>
      <c r="B504" s="1">
        <v>45813</v>
      </c>
      <c r="C504">
        <v>2025</v>
      </c>
      <c r="D504" t="s">
        <v>1219</v>
      </c>
      <c r="E504" t="s">
        <v>1205</v>
      </c>
      <c r="F504" t="s">
        <v>1155</v>
      </c>
      <c r="G504" t="s">
        <v>1012</v>
      </c>
      <c r="H504" s="2">
        <v>95000</v>
      </c>
      <c r="I504" t="s">
        <v>1211</v>
      </c>
      <c r="J504" t="s">
        <v>1030</v>
      </c>
      <c r="K504" t="s">
        <v>1031</v>
      </c>
    </row>
    <row r="505" spans="1:11" x14ac:dyDescent="0.25">
      <c r="A505" t="s">
        <v>504</v>
      </c>
      <c r="B505" s="1">
        <v>45814</v>
      </c>
      <c r="C505">
        <v>2025</v>
      </c>
      <c r="D505" t="s">
        <v>1219</v>
      </c>
      <c r="E505" t="s">
        <v>1205</v>
      </c>
      <c r="F505" t="s">
        <v>1156</v>
      </c>
      <c r="G505" t="s">
        <v>1198</v>
      </c>
      <c r="H505" s="2">
        <v>15000</v>
      </c>
      <c r="I505" t="s">
        <v>1212</v>
      </c>
      <c r="J505" t="s">
        <v>1030</v>
      </c>
      <c r="K505" t="s">
        <v>1031</v>
      </c>
    </row>
    <row r="506" spans="1:11" x14ac:dyDescent="0.25">
      <c r="A506" t="s">
        <v>505</v>
      </c>
      <c r="B506" s="1">
        <v>45814</v>
      </c>
      <c r="C506">
        <v>2025</v>
      </c>
      <c r="D506" t="s">
        <v>1219</v>
      </c>
      <c r="E506" t="s">
        <v>1205</v>
      </c>
      <c r="F506" t="s">
        <v>1157</v>
      </c>
      <c r="G506" t="s">
        <v>1010</v>
      </c>
      <c r="H506" s="2">
        <v>12000</v>
      </c>
      <c r="I506" t="s">
        <v>1212</v>
      </c>
      <c r="J506" t="s">
        <v>1030</v>
      </c>
      <c r="K506" t="s">
        <v>1031</v>
      </c>
    </row>
    <row r="507" spans="1:11" x14ac:dyDescent="0.25">
      <c r="A507" t="s">
        <v>506</v>
      </c>
      <c r="B507" s="1">
        <v>45817</v>
      </c>
      <c r="C507">
        <v>2025</v>
      </c>
      <c r="D507" t="s">
        <v>1219</v>
      </c>
      <c r="E507" t="s">
        <v>1207</v>
      </c>
      <c r="F507" t="s">
        <v>1102</v>
      </c>
      <c r="G507" t="s">
        <v>1011</v>
      </c>
      <c r="H507" s="2">
        <v>20000</v>
      </c>
      <c r="I507" t="s">
        <v>1206</v>
      </c>
      <c r="J507" t="s">
        <v>1030</v>
      </c>
      <c r="K507" t="s">
        <v>1031</v>
      </c>
    </row>
    <row r="508" spans="1:11" x14ac:dyDescent="0.25">
      <c r="A508" t="s">
        <v>507</v>
      </c>
      <c r="B508" s="1">
        <v>45821</v>
      </c>
      <c r="C508">
        <v>2025</v>
      </c>
      <c r="D508" t="s">
        <v>1219</v>
      </c>
      <c r="E508" t="s">
        <v>1207</v>
      </c>
      <c r="F508" t="s">
        <v>1158</v>
      </c>
      <c r="G508" t="s">
        <v>1198</v>
      </c>
      <c r="H508" s="2">
        <v>72000</v>
      </c>
      <c r="I508" t="s">
        <v>1206</v>
      </c>
      <c r="J508" t="s">
        <v>1030</v>
      </c>
      <c r="K508" t="s">
        <v>1031</v>
      </c>
    </row>
    <row r="509" spans="1:11" x14ac:dyDescent="0.25">
      <c r="A509" t="s">
        <v>508</v>
      </c>
      <c r="B509" s="1">
        <v>45818</v>
      </c>
      <c r="C509">
        <v>2025</v>
      </c>
      <c r="D509" t="s">
        <v>1219</v>
      </c>
      <c r="E509" t="s">
        <v>1207</v>
      </c>
      <c r="F509" t="s">
        <v>1035</v>
      </c>
      <c r="G509" t="s">
        <v>1197</v>
      </c>
      <c r="H509" s="2">
        <v>13000</v>
      </c>
      <c r="I509" t="s">
        <v>1206</v>
      </c>
      <c r="J509" t="s">
        <v>1030</v>
      </c>
      <c r="K509" t="s">
        <v>1031</v>
      </c>
    </row>
    <row r="510" spans="1:11" x14ac:dyDescent="0.25">
      <c r="A510" t="s">
        <v>509</v>
      </c>
      <c r="B510" s="1">
        <v>45818</v>
      </c>
      <c r="C510">
        <v>2025</v>
      </c>
      <c r="D510" t="s">
        <v>1219</v>
      </c>
      <c r="E510" t="s">
        <v>1207</v>
      </c>
      <c r="F510" t="s">
        <v>1120</v>
      </c>
      <c r="G510" t="s">
        <v>1014</v>
      </c>
      <c r="H510" s="2">
        <v>4500</v>
      </c>
      <c r="I510" t="s">
        <v>1212</v>
      </c>
      <c r="J510" t="s">
        <v>1030</v>
      </c>
      <c r="K510" t="s">
        <v>1031</v>
      </c>
    </row>
    <row r="511" spans="1:11" x14ac:dyDescent="0.25">
      <c r="A511" t="s">
        <v>510</v>
      </c>
      <c r="B511" s="1">
        <v>45819</v>
      </c>
      <c r="C511">
        <v>2025</v>
      </c>
      <c r="D511" t="s">
        <v>1219</v>
      </c>
      <c r="E511" t="s">
        <v>1207</v>
      </c>
      <c r="F511" t="s">
        <v>1159</v>
      </c>
      <c r="G511" t="s">
        <v>1014</v>
      </c>
      <c r="H511" s="2">
        <v>11800</v>
      </c>
      <c r="I511" t="s">
        <v>1212</v>
      </c>
      <c r="J511" t="s">
        <v>1030</v>
      </c>
      <c r="K511" t="s">
        <v>1031</v>
      </c>
    </row>
    <row r="512" spans="1:11" x14ac:dyDescent="0.25">
      <c r="A512" t="s">
        <v>511</v>
      </c>
      <c r="B512" s="1">
        <v>45820</v>
      </c>
      <c r="C512">
        <v>2025</v>
      </c>
      <c r="D512" t="s">
        <v>1219</v>
      </c>
      <c r="E512" t="s">
        <v>1207</v>
      </c>
      <c r="F512" t="s">
        <v>1035</v>
      </c>
      <c r="G512" t="s">
        <v>1197</v>
      </c>
      <c r="H512" s="2">
        <v>13000</v>
      </c>
      <c r="I512" t="s">
        <v>1206</v>
      </c>
      <c r="J512" t="s">
        <v>1030</v>
      </c>
      <c r="K512" t="s">
        <v>1031</v>
      </c>
    </row>
    <row r="513" spans="1:11" x14ac:dyDescent="0.25">
      <c r="A513" t="s">
        <v>512</v>
      </c>
      <c r="B513" s="1">
        <v>45823</v>
      </c>
      <c r="C513">
        <v>2025</v>
      </c>
      <c r="D513" t="s">
        <v>1219</v>
      </c>
      <c r="E513" t="s">
        <v>1208</v>
      </c>
      <c r="F513" t="s">
        <v>1068</v>
      </c>
      <c r="G513" t="s">
        <v>1011</v>
      </c>
      <c r="H513" s="2">
        <v>20000</v>
      </c>
      <c r="I513" t="s">
        <v>1211</v>
      </c>
      <c r="J513" t="s">
        <v>1030</v>
      </c>
      <c r="K513" t="s">
        <v>1031</v>
      </c>
    </row>
    <row r="514" spans="1:11" x14ac:dyDescent="0.25">
      <c r="A514" t="s">
        <v>513</v>
      </c>
      <c r="B514" s="1">
        <v>45821</v>
      </c>
      <c r="C514">
        <v>2025</v>
      </c>
      <c r="D514" t="s">
        <v>1219</v>
      </c>
      <c r="E514" t="s">
        <v>1207</v>
      </c>
      <c r="F514" t="s">
        <v>1018</v>
      </c>
      <c r="G514" t="s">
        <v>1013</v>
      </c>
      <c r="H514" s="2">
        <v>3000</v>
      </c>
      <c r="I514" t="s">
        <v>1206</v>
      </c>
      <c r="J514" t="s">
        <v>1030</v>
      </c>
      <c r="K514" t="s">
        <v>1031</v>
      </c>
    </row>
    <row r="515" spans="1:11" x14ac:dyDescent="0.25">
      <c r="A515" t="s">
        <v>514</v>
      </c>
      <c r="B515" s="1">
        <v>45821</v>
      </c>
      <c r="C515">
        <v>2025</v>
      </c>
      <c r="D515" t="s">
        <v>1219</v>
      </c>
      <c r="E515" t="s">
        <v>1207</v>
      </c>
      <c r="F515" t="s">
        <v>1160</v>
      </c>
      <c r="G515" t="s">
        <v>1198</v>
      </c>
      <c r="H515" s="2">
        <v>31000</v>
      </c>
      <c r="I515" t="s">
        <v>1211</v>
      </c>
      <c r="J515" t="s">
        <v>1030</v>
      </c>
      <c r="K515" t="s">
        <v>1031</v>
      </c>
    </row>
    <row r="516" spans="1:11" x14ac:dyDescent="0.25">
      <c r="A516" t="s">
        <v>515</v>
      </c>
      <c r="B516" s="1">
        <v>45824</v>
      </c>
      <c r="C516">
        <v>2025</v>
      </c>
      <c r="D516" t="s">
        <v>1219</v>
      </c>
      <c r="E516" t="s">
        <v>1208</v>
      </c>
      <c r="F516" t="s">
        <v>1035</v>
      </c>
      <c r="G516" t="s">
        <v>1197</v>
      </c>
      <c r="H516" s="2">
        <v>13000</v>
      </c>
      <c r="I516" t="s">
        <v>1206</v>
      </c>
      <c r="J516" t="s">
        <v>1030</v>
      </c>
      <c r="K516" t="s">
        <v>1031</v>
      </c>
    </row>
    <row r="517" spans="1:11" x14ac:dyDescent="0.25">
      <c r="A517" t="s">
        <v>516</v>
      </c>
      <c r="B517" s="1">
        <v>45826</v>
      </c>
      <c r="C517">
        <v>2025</v>
      </c>
      <c r="D517" t="s">
        <v>1219</v>
      </c>
      <c r="E517" t="s">
        <v>1208</v>
      </c>
      <c r="F517" t="s">
        <v>1120</v>
      </c>
      <c r="G517" t="s">
        <v>1014</v>
      </c>
      <c r="H517" s="2">
        <v>4500</v>
      </c>
      <c r="I517" t="s">
        <v>1212</v>
      </c>
      <c r="J517" t="s">
        <v>1030</v>
      </c>
      <c r="K517" t="s">
        <v>1031</v>
      </c>
    </row>
    <row r="518" spans="1:11" x14ac:dyDescent="0.25">
      <c r="A518" t="s">
        <v>517</v>
      </c>
      <c r="B518" s="1">
        <v>45826</v>
      </c>
      <c r="C518">
        <v>2025</v>
      </c>
      <c r="D518" t="s">
        <v>1219</v>
      </c>
      <c r="E518" t="s">
        <v>1208</v>
      </c>
      <c r="F518" t="s">
        <v>1161</v>
      </c>
      <c r="G518" t="s">
        <v>1014</v>
      </c>
      <c r="H518" s="2">
        <v>22000</v>
      </c>
      <c r="I518" t="s">
        <v>1206</v>
      </c>
      <c r="J518" t="s">
        <v>1030</v>
      </c>
      <c r="K518" t="s">
        <v>1031</v>
      </c>
    </row>
    <row r="519" spans="1:11" x14ac:dyDescent="0.25">
      <c r="A519" t="s">
        <v>518</v>
      </c>
      <c r="B519" s="1">
        <v>45826</v>
      </c>
      <c r="C519">
        <v>2025</v>
      </c>
      <c r="D519" t="s">
        <v>1219</v>
      </c>
      <c r="E519" t="s">
        <v>1208</v>
      </c>
      <c r="F519" t="s">
        <v>1162</v>
      </c>
      <c r="G519" t="s">
        <v>1198</v>
      </c>
      <c r="H519" s="2">
        <v>20000</v>
      </c>
      <c r="I519" t="s">
        <v>1206</v>
      </c>
      <c r="J519" t="s">
        <v>1030</v>
      </c>
      <c r="K519" t="s">
        <v>1031</v>
      </c>
    </row>
    <row r="520" spans="1:11" x14ac:dyDescent="0.25">
      <c r="A520" t="s">
        <v>519</v>
      </c>
      <c r="B520" s="1">
        <v>45826</v>
      </c>
      <c r="C520">
        <v>2025</v>
      </c>
      <c r="D520" t="s">
        <v>1219</v>
      </c>
      <c r="E520" t="s">
        <v>1208</v>
      </c>
      <c r="F520" t="s">
        <v>1102</v>
      </c>
      <c r="G520" t="s">
        <v>1011</v>
      </c>
      <c r="H520" s="2">
        <v>20000</v>
      </c>
      <c r="I520" t="s">
        <v>1206</v>
      </c>
      <c r="J520" t="s">
        <v>1030</v>
      </c>
      <c r="K520" t="s">
        <v>1031</v>
      </c>
    </row>
    <row r="521" spans="1:11" x14ac:dyDescent="0.25">
      <c r="A521" t="s">
        <v>520</v>
      </c>
      <c r="B521" s="1">
        <v>45827</v>
      </c>
      <c r="C521">
        <v>2025</v>
      </c>
      <c r="D521" t="s">
        <v>1219</v>
      </c>
      <c r="E521" t="s">
        <v>1208</v>
      </c>
      <c r="F521" t="s">
        <v>1160</v>
      </c>
      <c r="G521" t="s">
        <v>1198</v>
      </c>
      <c r="H521" s="2">
        <v>31000</v>
      </c>
      <c r="I521" t="s">
        <v>1206</v>
      </c>
      <c r="J521" t="s">
        <v>1030</v>
      </c>
      <c r="K521" t="s">
        <v>1031</v>
      </c>
    </row>
    <row r="522" spans="1:11" x14ac:dyDescent="0.25">
      <c r="A522" t="s">
        <v>521</v>
      </c>
      <c r="B522" s="1">
        <v>45796</v>
      </c>
      <c r="C522">
        <v>2025</v>
      </c>
      <c r="D522" t="s">
        <v>1217</v>
      </c>
      <c r="E522" t="s">
        <v>1208</v>
      </c>
      <c r="F522" t="s">
        <v>1163</v>
      </c>
      <c r="G522" t="s">
        <v>1198</v>
      </c>
      <c r="H522" s="2">
        <v>72000</v>
      </c>
      <c r="I522" t="s">
        <v>1206</v>
      </c>
      <c r="J522" t="s">
        <v>1030</v>
      </c>
      <c r="K522" t="s">
        <v>1031</v>
      </c>
    </row>
    <row r="523" spans="1:11" x14ac:dyDescent="0.25">
      <c r="A523" t="s">
        <v>522</v>
      </c>
      <c r="B523" s="1">
        <v>45828</v>
      </c>
      <c r="C523">
        <v>2025</v>
      </c>
      <c r="D523" t="s">
        <v>1219</v>
      </c>
      <c r="E523" t="s">
        <v>1208</v>
      </c>
      <c r="F523" t="s">
        <v>1119</v>
      </c>
      <c r="G523" t="s">
        <v>1011</v>
      </c>
      <c r="H523" s="2">
        <v>15000</v>
      </c>
      <c r="I523" t="s">
        <v>1206</v>
      </c>
      <c r="J523" t="s">
        <v>1030</v>
      </c>
      <c r="K523" t="s">
        <v>1031</v>
      </c>
    </row>
    <row r="524" spans="1:11" x14ac:dyDescent="0.25">
      <c r="A524" t="s">
        <v>523</v>
      </c>
      <c r="B524" s="1">
        <v>45830</v>
      </c>
      <c r="C524">
        <v>2025</v>
      </c>
      <c r="D524" t="s">
        <v>1219</v>
      </c>
      <c r="E524" t="s">
        <v>1210</v>
      </c>
      <c r="F524" t="s">
        <v>1068</v>
      </c>
      <c r="G524" t="s">
        <v>1011</v>
      </c>
      <c r="H524" s="2">
        <v>25000</v>
      </c>
      <c r="I524" t="s">
        <v>1206</v>
      </c>
      <c r="J524" t="s">
        <v>1030</v>
      </c>
      <c r="K524" t="s">
        <v>1031</v>
      </c>
    </row>
    <row r="525" spans="1:11" x14ac:dyDescent="0.25">
      <c r="A525" t="s">
        <v>524</v>
      </c>
      <c r="B525" s="1">
        <v>45831</v>
      </c>
      <c r="C525">
        <v>2025</v>
      </c>
      <c r="D525" t="s">
        <v>1219</v>
      </c>
      <c r="E525" t="s">
        <v>1210</v>
      </c>
      <c r="F525" t="s">
        <v>1102</v>
      </c>
      <c r="G525" t="s">
        <v>1011</v>
      </c>
      <c r="H525" s="2">
        <v>24000</v>
      </c>
      <c r="I525" t="s">
        <v>1206</v>
      </c>
      <c r="J525" t="s">
        <v>1030</v>
      </c>
      <c r="K525" t="s">
        <v>1031</v>
      </c>
    </row>
    <row r="526" spans="1:11" x14ac:dyDescent="0.25">
      <c r="A526" t="s">
        <v>525</v>
      </c>
      <c r="B526" s="1">
        <v>45831</v>
      </c>
      <c r="C526">
        <v>2025</v>
      </c>
      <c r="D526" t="s">
        <v>1219</v>
      </c>
      <c r="E526" t="s">
        <v>1210</v>
      </c>
      <c r="F526" t="s">
        <v>1035</v>
      </c>
      <c r="G526" t="s">
        <v>1197</v>
      </c>
      <c r="H526" s="2">
        <v>13000</v>
      </c>
      <c r="I526" t="s">
        <v>1206</v>
      </c>
      <c r="J526" t="s">
        <v>1030</v>
      </c>
      <c r="K526" t="s">
        <v>1031</v>
      </c>
    </row>
    <row r="527" spans="1:11" x14ac:dyDescent="0.25">
      <c r="A527" t="s">
        <v>526</v>
      </c>
      <c r="B527" s="1">
        <v>45831</v>
      </c>
      <c r="C527">
        <v>2025</v>
      </c>
      <c r="D527" t="s">
        <v>1219</v>
      </c>
      <c r="E527" t="s">
        <v>1210</v>
      </c>
      <c r="F527" t="s">
        <v>1119</v>
      </c>
      <c r="G527" t="s">
        <v>1011</v>
      </c>
      <c r="H527" s="2">
        <v>25000</v>
      </c>
      <c r="I527" t="s">
        <v>1206</v>
      </c>
      <c r="J527" t="s">
        <v>1030</v>
      </c>
      <c r="K527" t="s">
        <v>1031</v>
      </c>
    </row>
    <row r="528" spans="1:11" x14ac:dyDescent="0.25">
      <c r="A528" t="s">
        <v>527</v>
      </c>
      <c r="B528" s="1">
        <v>45824</v>
      </c>
      <c r="C528">
        <v>2025</v>
      </c>
      <c r="D528" t="s">
        <v>1219</v>
      </c>
      <c r="E528" t="s">
        <v>1208</v>
      </c>
      <c r="F528" t="s">
        <v>1164</v>
      </c>
      <c r="G528" t="s">
        <v>1015</v>
      </c>
      <c r="H528" s="2">
        <v>12000</v>
      </c>
      <c r="I528" t="s">
        <v>1212</v>
      </c>
      <c r="J528" t="s">
        <v>1030</v>
      </c>
      <c r="K528" t="s">
        <v>1031</v>
      </c>
    </row>
    <row r="529" spans="1:11" x14ac:dyDescent="0.25">
      <c r="A529" t="s">
        <v>528</v>
      </c>
      <c r="B529" s="1">
        <v>45833</v>
      </c>
      <c r="C529">
        <v>2025</v>
      </c>
      <c r="D529" t="s">
        <v>1219</v>
      </c>
      <c r="E529" t="s">
        <v>1210</v>
      </c>
      <c r="F529" t="s">
        <v>1018</v>
      </c>
      <c r="G529" t="s">
        <v>1013</v>
      </c>
      <c r="H529" s="2">
        <v>3000</v>
      </c>
      <c r="I529" t="s">
        <v>1206</v>
      </c>
      <c r="J529" t="s">
        <v>1030</v>
      </c>
      <c r="K529" t="s">
        <v>1031</v>
      </c>
    </row>
    <row r="530" spans="1:11" x14ac:dyDescent="0.25">
      <c r="A530" t="s">
        <v>529</v>
      </c>
      <c r="B530" s="1">
        <v>45834</v>
      </c>
      <c r="C530">
        <v>2025</v>
      </c>
      <c r="D530" t="s">
        <v>1219</v>
      </c>
      <c r="E530" t="s">
        <v>1210</v>
      </c>
      <c r="F530" t="s">
        <v>1119</v>
      </c>
      <c r="G530" t="s">
        <v>1011</v>
      </c>
      <c r="H530" s="2">
        <v>22000</v>
      </c>
      <c r="I530" t="s">
        <v>1206</v>
      </c>
      <c r="J530" t="s">
        <v>1030</v>
      </c>
      <c r="K530" t="s">
        <v>1031</v>
      </c>
    </row>
    <row r="531" spans="1:11" x14ac:dyDescent="0.25">
      <c r="A531" t="s">
        <v>530</v>
      </c>
      <c r="B531" s="1">
        <v>45834</v>
      </c>
      <c r="C531">
        <v>2025</v>
      </c>
      <c r="D531" t="s">
        <v>1219</v>
      </c>
      <c r="E531" t="s">
        <v>1210</v>
      </c>
      <c r="F531" t="s">
        <v>1102</v>
      </c>
      <c r="G531" t="s">
        <v>1011</v>
      </c>
      <c r="H531" s="2">
        <v>20000</v>
      </c>
      <c r="I531" t="s">
        <v>1206</v>
      </c>
      <c r="J531" t="s">
        <v>1030</v>
      </c>
      <c r="K531" t="s">
        <v>1031</v>
      </c>
    </row>
    <row r="532" spans="1:11" x14ac:dyDescent="0.25">
      <c r="A532" t="s">
        <v>531</v>
      </c>
      <c r="B532" s="1">
        <v>45836</v>
      </c>
      <c r="C532">
        <v>2025</v>
      </c>
      <c r="D532" t="s">
        <v>1219</v>
      </c>
      <c r="E532" t="s">
        <v>1210</v>
      </c>
      <c r="F532" t="s">
        <v>1102</v>
      </c>
      <c r="G532" t="s">
        <v>1011</v>
      </c>
      <c r="H532" s="2">
        <v>20000</v>
      </c>
      <c r="I532" t="s">
        <v>1211</v>
      </c>
      <c r="J532" t="s">
        <v>1030</v>
      </c>
      <c r="K532" t="s">
        <v>1031</v>
      </c>
    </row>
    <row r="533" spans="1:11" x14ac:dyDescent="0.25">
      <c r="A533" t="s">
        <v>532</v>
      </c>
      <c r="B533" s="1">
        <v>45837</v>
      </c>
      <c r="C533">
        <v>2025</v>
      </c>
      <c r="D533" t="s">
        <v>1219</v>
      </c>
      <c r="E533" t="s">
        <v>1213</v>
      </c>
      <c r="F533" t="s">
        <v>1025</v>
      </c>
      <c r="G533" t="s">
        <v>1014</v>
      </c>
      <c r="H533" s="2">
        <v>5000</v>
      </c>
      <c r="I533" t="s">
        <v>1206</v>
      </c>
      <c r="J533" t="s">
        <v>1030</v>
      </c>
      <c r="K533" t="s">
        <v>1031</v>
      </c>
    </row>
    <row r="534" spans="1:11" x14ac:dyDescent="0.25">
      <c r="A534" t="s">
        <v>533</v>
      </c>
      <c r="B534" s="1">
        <v>45837</v>
      </c>
      <c r="C534">
        <v>2025</v>
      </c>
      <c r="D534" t="s">
        <v>1219</v>
      </c>
      <c r="E534" t="s">
        <v>1213</v>
      </c>
      <c r="F534" t="s">
        <v>1040</v>
      </c>
      <c r="G534" t="s">
        <v>1199</v>
      </c>
      <c r="H534" s="2">
        <v>20000</v>
      </c>
      <c r="I534" t="s">
        <v>1206</v>
      </c>
      <c r="J534" t="s">
        <v>1030</v>
      </c>
      <c r="K534" t="s">
        <v>1031</v>
      </c>
    </row>
    <row r="535" spans="1:11" x14ac:dyDescent="0.25">
      <c r="A535" t="s">
        <v>534</v>
      </c>
      <c r="B535" s="1">
        <v>45838</v>
      </c>
      <c r="C535">
        <v>2025</v>
      </c>
      <c r="D535" t="s">
        <v>1219</v>
      </c>
      <c r="E535" t="s">
        <v>1213</v>
      </c>
      <c r="F535" t="s">
        <v>1023</v>
      </c>
      <c r="G535" t="s">
        <v>1201</v>
      </c>
      <c r="H535" s="2">
        <v>10000</v>
      </c>
      <c r="I535" t="s">
        <v>1212</v>
      </c>
      <c r="J535" t="s">
        <v>1030</v>
      </c>
      <c r="K535" t="s">
        <v>1031</v>
      </c>
    </row>
    <row r="536" spans="1:11" x14ac:dyDescent="0.25">
      <c r="A536" t="s">
        <v>535</v>
      </c>
      <c r="B536" s="1">
        <v>45838</v>
      </c>
      <c r="C536">
        <v>2025</v>
      </c>
      <c r="D536" t="s">
        <v>1219</v>
      </c>
      <c r="E536" t="s">
        <v>1213</v>
      </c>
      <c r="F536" t="s">
        <v>1035</v>
      </c>
      <c r="G536" t="s">
        <v>1197</v>
      </c>
      <c r="H536" s="2">
        <v>13000</v>
      </c>
      <c r="I536" t="s">
        <v>1206</v>
      </c>
      <c r="J536" t="s">
        <v>1030</v>
      </c>
      <c r="K536" t="s">
        <v>1031</v>
      </c>
    </row>
    <row r="537" spans="1:11" x14ac:dyDescent="0.25">
      <c r="A537" t="s">
        <v>536</v>
      </c>
      <c r="B537" s="1">
        <v>45838</v>
      </c>
      <c r="C537">
        <v>2025</v>
      </c>
      <c r="D537" t="s">
        <v>1219</v>
      </c>
      <c r="E537" t="s">
        <v>1213</v>
      </c>
      <c r="F537" t="s">
        <v>1119</v>
      </c>
      <c r="G537" t="s">
        <v>1011</v>
      </c>
      <c r="H537" s="2">
        <v>15000</v>
      </c>
      <c r="I537" t="s">
        <v>1206</v>
      </c>
      <c r="J537" t="s">
        <v>1030</v>
      </c>
      <c r="K537" t="s">
        <v>1031</v>
      </c>
    </row>
    <row r="538" spans="1:11" x14ac:dyDescent="0.25">
      <c r="A538" t="s">
        <v>537</v>
      </c>
      <c r="B538" s="1">
        <v>45838</v>
      </c>
      <c r="C538">
        <v>2025</v>
      </c>
      <c r="D538" t="s">
        <v>1219</v>
      </c>
      <c r="E538" t="s">
        <v>1213</v>
      </c>
      <c r="F538" t="s">
        <v>1120</v>
      </c>
      <c r="G538" t="s">
        <v>1014</v>
      </c>
      <c r="H538" s="2">
        <v>4500</v>
      </c>
      <c r="I538" t="s">
        <v>1206</v>
      </c>
      <c r="J538" t="s">
        <v>1030</v>
      </c>
      <c r="K538" t="s">
        <v>1031</v>
      </c>
    </row>
    <row r="539" spans="1:11" x14ac:dyDescent="0.25">
      <c r="A539" t="s">
        <v>538</v>
      </c>
      <c r="B539" s="1">
        <v>45839</v>
      </c>
      <c r="C539">
        <v>2025</v>
      </c>
      <c r="D539" t="s">
        <v>1221</v>
      </c>
      <c r="E539" t="s">
        <v>1205</v>
      </c>
      <c r="F539" t="s">
        <v>1049</v>
      </c>
      <c r="G539" t="s">
        <v>1199</v>
      </c>
      <c r="H539" s="2">
        <v>24000</v>
      </c>
      <c r="I539" t="s">
        <v>1206</v>
      </c>
      <c r="J539" t="s">
        <v>1030</v>
      </c>
      <c r="K539" t="s">
        <v>1031</v>
      </c>
    </row>
    <row r="540" spans="1:11" x14ac:dyDescent="0.25">
      <c r="A540" t="s">
        <v>539</v>
      </c>
      <c r="B540" s="1">
        <v>45839</v>
      </c>
      <c r="C540">
        <v>2025</v>
      </c>
      <c r="D540" t="s">
        <v>1221</v>
      </c>
      <c r="E540" t="s">
        <v>1205</v>
      </c>
      <c r="F540" t="s">
        <v>1165</v>
      </c>
      <c r="G540" t="s">
        <v>1198</v>
      </c>
      <c r="H540" s="2">
        <v>9000</v>
      </c>
      <c r="I540" t="s">
        <v>1212</v>
      </c>
      <c r="J540" t="s">
        <v>1030</v>
      </c>
      <c r="K540" t="s">
        <v>1031</v>
      </c>
    </row>
    <row r="541" spans="1:11" x14ac:dyDescent="0.25">
      <c r="A541" t="s">
        <v>540</v>
      </c>
      <c r="B541" s="1">
        <v>45840</v>
      </c>
      <c r="C541">
        <v>2025</v>
      </c>
      <c r="D541" t="s">
        <v>1221</v>
      </c>
      <c r="E541" t="s">
        <v>1205</v>
      </c>
      <c r="F541" t="s">
        <v>1033</v>
      </c>
      <c r="G541" t="s">
        <v>1014</v>
      </c>
      <c r="H541" s="2">
        <v>124470</v>
      </c>
      <c r="I541" t="s">
        <v>1206</v>
      </c>
      <c r="J541" t="s">
        <v>1030</v>
      </c>
      <c r="K541" t="s">
        <v>1031</v>
      </c>
    </row>
    <row r="542" spans="1:11" x14ac:dyDescent="0.25">
      <c r="A542" t="s">
        <v>541</v>
      </c>
      <c r="B542" s="1">
        <v>45840</v>
      </c>
      <c r="C542">
        <v>2025</v>
      </c>
      <c r="D542" t="s">
        <v>1221</v>
      </c>
      <c r="E542" t="s">
        <v>1205</v>
      </c>
      <c r="F542" t="s">
        <v>1166</v>
      </c>
      <c r="G542" t="s">
        <v>1010</v>
      </c>
      <c r="H542" s="2">
        <v>15000</v>
      </c>
      <c r="I542" t="s">
        <v>1206</v>
      </c>
      <c r="J542" t="s">
        <v>1030</v>
      </c>
      <c r="K542" t="s">
        <v>1031</v>
      </c>
    </row>
    <row r="543" spans="1:11" x14ac:dyDescent="0.25">
      <c r="A543" t="s">
        <v>542</v>
      </c>
      <c r="B543" s="1">
        <v>45842</v>
      </c>
      <c r="C543">
        <v>2025</v>
      </c>
      <c r="D543" t="s">
        <v>1221</v>
      </c>
      <c r="E543" t="s">
        <v>1205</v>
      </c>
      <c r="F543" t="s">
        <v>1037</v>
      </c>
      <c r="G543" t="s">
        <v>1199</v>
      </c>
      <c r="H543" s="2">
        <v>24000</v>
      </c>
      <c r="I543" t="s">
        <v>1206</v>
      </c>
      <c r="J543" t="s">
        <v>1030</v>
      </c>
      <c r="K543" t="s">
        <v>1031</v>
      </c>
    </row>
    <row r="544" spans="1:11" x14ac:dyDescent="0.25">
      <c r="A544" t="s">
        <v>543</v>
      </c>
      <c r="B544" s="1">
        <v>45845</v>
      </c>
      <c r="C544">
        <v>2025</v>
      </c>
      <c r="D544" t="s">
        <v>1221</v>
      </c>
      <c r="E544" t="s">
        <v>1205</v>
      </c>
      <c r="F544" t="s">
        <v>1035</v>
      </c>
      <c r="G544" t="s">
        <v>1197</v>
      </c>
      <c r="H544" s="2">
        <v>13000</v>
      </c>
      <c r="I544" t="s">
        <v>1206</v>
      </c>
      <c r="J544" t="s">
        <v>1030</v>
      </c>
      <c r="K544" t="s">
        <v>1031</v>
      </c>
    </row>
    <row r="545" spans="1:11" x14ac:dyDescent="0.25">
      <c r="A545" t="s">
        <v>544</v>
      </c>
      <c r="B545" s="1">
        <v>45852</v>
      </c>
      <c r="C545">
        <v>2025</v>
      </c>
      <c r="D545" t="s">
        <v>1221</v>
      </c>
      <c r="E545" t="s">
        <v>1207</v>
      </c>
      <c r="F545" t="s">
        <v>1018</v>
      </c>
      <c r="G545" t="s">
        <v>1013</v>
      </c>
      <c r="H545" s="2">
        <v>3000</v>
      </c>
      <c r="I545" t="s">
        <v>1212</v>
      </c>
      <c r="J545" t="s">
        <v>1030</v>
      </c>
      <c r="K545" t="s">
        <v>1031</v>
      </c>
    </row>
    <row r="546" spans="1:11" x14ac:dyDescent="0.25">
      <c r="A546" t="s">
        <v>545</v>
      </c>
      <c r="B546" s="1">
        <v>45854</v>
      </c>
      <c r="C546">
        <v>2025</v>
      </c>
      <c r="D546" t="s">
        <v>1221</v>
      </c>
      <c r="E546" t="s">
        <v>1208</v>
      </c>
      <c r="F546" t="s">
        <v>1124</v>
      </c>
      <c r="G546" t="s">
        <v>1010</v>
      </c>
      <c r="H546" s="2">
        <v>10000</v>
      </c>
      <c r="I546" t="s">
        <v>1206</v>
      </c>
      <c r="J546" t="s">
        <v>1030</v>
      </c>
      <c r="K546" t="s">
        <v>1031</v>
      </c>
    </row>
    <row r="547" spans="1:11" x14ac:dyDescent="0.25">
      <c r="A547" t="s">
        <v>546</v>
      </c>
      <c r="B547" s="1">
        <v>45856</v>
      </c>
      <c r="C547">
        <v>2025</v>
      </c>
      <c r="D547" t="s">
        <v>1221</v>
      </c>
      <c r="E547" t="s">
        <v>1208</v>
      </c>
      <c r="F547" t="s">
        <v>1041</v>
      </c>
      <c r="G547" t="s">
        <v>1010</v>
      </c>
      <c r="H547" s="2">
        <v>3000</v>
      </c>
      <c r="I547" t="s">
        <v>1212</v>
      </c>
      <c r="J547" t="s">
        <v>1030</v>
      </c>
      <c r="K547" t="s">
        <v>1031</v>
      </c>
    </row>
    <row r="548" spans="1:11" x14ac:dyDescent="0.25">
      <c r="A548" t="s">
        <v>547</v>
      </c>
      <c r="B548" s="1">
        <v>45859</v>
      </c>
      <c r="C548">
        <v>2025</v>
      </c>
      <c r="D548" t="s">
        <v>1221</v>
      </c>
      <c r="E548" t="s">
        <v>1208</v>
      </c>
      <c r="F548" t="s">
        <v>1167</v>
      </c>
      <c r="G548" t="s">
        <v>1198</v>
      </c>
      <c r="H548" s="2">
        <v>5000</v>
      </c>
      <c r="I548" t="s">
        <v>1212</v>
      </c>
      <c r="J548" t="s">
        <v>1030</v>
      </c>
      <c r="K548" t="s">
        <v>1031</v>
      </c>
    </row>
    <row r="549" spans="1:11" x14ac:dyDescent="0.25">
      <c r="A549" t="s">
        <v>548</v>
      </c>
      <c r="B549" s="1">
        <v>45860</v>
      </c>
      <c r="C549">
        <v>2025</v>
      </c>
      <c r="D549" t="s">
        <v>1221</v>
      </c>
      <c r="E549" t="s">
        <v>1210</v>
      </c>
      <c r="F549" t="s">
        <v>1168</v>
      </c>
      <c r="G549" t="s">
        <v>1012</v>
      </c>
      <c r="H549" s="2">
        <v>22000</v>
      </c>
      <c r="I549" t="s">
        <v>1206</v>
      </c>
      <c r="J549" t="s">
        <v>1030</v>
      </c>
      <c r="K549" t="s">
        <v>1031</v>
      </c>
    </row>
    <row r="550" spans="1:11" x14ac:dyDescent="0.25">
      <c r="A550" t="s">
        <v>549</v>
      </c>
      <c r="B550" s="1">
        <v>45860</v>
      </c>
      <c r="C550">
        <v>2025</v>
      </c>
      <c r="D550" t="s">
        <v>1221</v>
      </c>
      <c r="E550" t="s">
        <v>1210</v>
      </c>
      <c r="F550" t="s">
        <v>1132</v>
      </c>
      <c r="G550" t="s">
        <v>1012</v>
      </c>
      <c r="H550" s="2">
        <v>10000</v>
      </c>
      <c r="I550" t="s">
        <v>1206</v>
      </c>
      <c r="J550" t="s">
        <v>1030</v>
      </c>
      <c r="K550" t="s">
        <v>1031</v>
      </c>
    </row>
    <row r="551" spans="1:11" x14ac:dyDescent="0.25">
      <c r="A551" t="s">
        <v>550</v>
      </c>
      <c r="B551" s="1">
        <v>45861</v>
      </c>
      <c r="C551">
        <v>2025</v>
      </c>
      <c r="D551" t="s">
        <v>1221</v>
      </c>
      <c r="E551" t="s">
        <v>1210</v>
      </c>
      <c r="F551" t="s">
        <v>1169</v>
      </c>
      <c r="G551" t="s">
        <v>1012</v>
      </c>
      <c r="H551" s="2">
        <v>50500</v>
      </c>
      <c r="I551" t="s">
        <v>1206</v>
      </c>
      <c r="J551" t="s">
        <v>1030</v>
      </c>
      <c r="K551" t="s">
        <v>1031</v>
      </c>
    </row>
    <row r="552" spans="1:11" x14ac:dyDescent="0.25">
      <c r="A552" t="s">
        <v>551</v>
      </c>
      <c r="B552" s="1">
        <v>45861</v>
      </c>
      <c r="C552">
        <v>2025</v>
      </c>
      <c r="D552" t="s">
        <v>1221</v>
      </c>
      <c r="E552" t="s">
        <v>1210</v>
      </c>
      <c r="F552" t="s">
        <v>1018</v>
      </c>
      <c r="G552" t="s">
        <v>1013</v>
      </c>
      <c r="H552" s="2">
        <v>5000</v>
      </c>
      <c r="I552" t="s">
        <v>1206</v>
      </c>
      <c r="J552" t="s">
        <v>1030</v>
      </c>
      <c r="K552" t="s">
        <v>1031</v>
      </c>
    </row>
    <row r="553" spans="1:11" x14ac:dyDescent="0.25">
      <c r="A553" t="s">
        <v>552</v>
      </c>
      <c r="B553" s="1">
        <v>45862</v>
      </c>
      <c r="C553">
        <v>2025</v>
      </c>
      <c r="D553" t="s">
        <v>1221</v>
      </c>
      <c r="E553" t="s">
        <v>1210</v>
      </c>
      <c r="F553" t="s">
        <v>1035</v>
      </c>
      <c r="G553" t="s">
        <v>1197</v>
      </c>
      <c r="H553" s="2">
        <v>57600</v>
      </c>
      <c r="I553" t="s">
        <v>1206</v>
      </c>
      <c r="J553" t="s">
        <v>1030</v>
      </c>
      <c r="K553" t="s">
        <v>1031</v>
      </c>
    </row>
    <row r="554" spans="1:11" x14ac:dyDescent="0.25">
      <c r="A554" t="s">
        <v>553</v>
      </c>
      <c r="B554" s="1">
        <v>45853</v>
      </c>
      <c r="C554">
        <v>2025</v>
      </c>
      <c r="D554" t="s">
        <v>1221</v>
      </c>
      <c r="E554" t="s">
        <v>1208</v>
      </c>
      <c r="F554" t="s">
        <v>1025</v>
      </c>
      <c r="G554" t="s">
        <v>1014</v>
      </c>
      <c r="H554" s="2">
        <v>10000</v>
      </c>
      <c r="I554" t="s">
        <v>1206</v>
      </c>
      <c r="J554" t="s">
        <v>1030</v>
      </c>
      <c r="K554" t="s">
        <v>1031</v>
      </c>
    </row>
    <row r="555" spans="1:11" x14ac:dyDescent="0.25">
      <c r="A555" t="s">
        <v>554</v>
      </c>
      <c r="B555" s="1">
        <v>45845</v>
      </c>
      <c r="C555">
        <v>2025</v>
      </c>
      <c r="D555" t="s">
        <v>1221</v>
      </c>
      <c r="E555" t="s">
        <v>1205</v>
      </c>
      <c r="F555" t="s">
        <v>1170</v>
      </c>
      <c r="G555" t="s">
        <v>1198</v>
      </c>
      <c r="H555" s="2">
        <v>60000</v>
      </c>
      <c r="I555" t="s">
        <v>1206</v>
      </c>
      <c r="J555" t="s">
        <v>1030</v>
      </c>
      <c r="K555" t="s">
        <v>1031</v>
      </c>
    </row>
    <row r="556" spans="1:11" x14ac:dyDescent="0.25">
      <c r="A556" t="s">
        <v>555</v>
      </c>
      <c r="B556" s="1">
        <v>45842</v>
      </c>
      <c r="C556">
        <v>2025</v>
      </c>
      <c r="D556" t="s">
        <v>1221</v>
      </c>
      <c r="E556" t="s">
        <v>1205</v>
      </c>
      <c r="F556" t="s">
        <v>1171</v>
      </c>
      <c r="G556" t="s">
        <v>1198</v>
      </c>
      <c r="H556" s="2">
        <v>20000</v>
      </c>
      <c r="I556" t="s">
        <v>1206</v>
      </c>
      <c r="J556" t="s">
        <v>1030</v>
      </c>
      <c r="K556" t="s">
        <v>1031</v>
      </c>
    </row>
    <row r="557" spans="1:11" x14ac:dyDescent="0.25">
      <c r="A557" t="s">
        <v>556</v>
      </c>
      <c r="B557" s="1">
        <v>45846</v>
      </c>
      <c r="C557">
        <v>2025</v>
      </c>
      <c r="D557" t="s">
        <v>1221</v>
      </c>
      <c r="E557" t="s">
        <v>1207</v>
      </c>
      <c r="F557" t="s">
        <v>1172</v>
      </c>
      <c r="G557" t="s">
        <v>1010</v>
      </c>
      <c r="H557" s="2">
        <v>250000</v>
      </c>
      <c r="I557" t="s">
        <v>1206</v>
      </c>
      <c r="J557" t="s">
        <v>1030</v>
      </c>
      <c r="K557" t="s">
        <v>1031</v>
      </c>
    </row>
    <row r="558" spans="1:11" x14ac:dyDescent="0.25">
      <c r="A558" t="s">
        <v>557</v>
      </c>
      <c r="B558" s="1">
        <v>45848</v>
      </c>
      <c r="C558">
        <v>2025</v>
      </c>
      <c r="D558" t="s">
        <v>1221</v>
      </c>
      <c r="E558" t="s">
        <v>1207</v>
      </c>
      <c r="F558" t="s">
        <v>1018</v>
      </c>
      <c r="G558" t="s">
        <v>1013</v>
      </c>
      <c r="H558" s="2">
        <v>5000</v>
      </c>
      <c r="I558" t="s">
        <v>1206</v>
      </c>
      <c r="J558" t="s">
        <v>1030</v>
      </c>
      <c r="K558" t="s">
        <v>1031</v>
      </c>
    </row>
    <row r="559" spans="1:11" x14ac:dyDescent="0.25">
      <c r="A559" t="s">
        <v>558</v>
      </c>
      <c r="B559" s="1">
        <v>45848</v>
      </c>
      <c r="C559">
        <v>2025</v>
      </c>
      <c r="D559" t="s">
        <v>1221</v>
      </c>
      <c r="E559" t="s">
        <v>1207</v>
      </c>
      <c r="F559" t="s">
        <v>1173</v>
      </c>
      <c r="G559" t="s">
        <v>1012</v>
      </c>
      <c r="H559" s="2">
        <v>10000</v>
      </c>
      <c r="I559" t="s">
        <v>1212</v>
      </c>
      <c r="J559" t="s">
        <v>1030</v>
      </c>
      <c r="K559" t="s">
        <v>1031</v>
      </c>
    </row>
    <row r="560" spans="1:11" x14ac:dyDescent="0.25">
      <c r="A560" t="s">
        <v>559</v>
      </c>
      <c r="B560" s="1">
        <v>45852</v>
      </c>
      <c r="C560">
        <v>2025</v>
      </c>
      <c r="D560" t="s">
        <v>1221</v>
      </c>
      <c r="E560" t="s">
        <v>1207</v>
      </c>
      <c r="F560" t="s">
        <v>1035</v>
      </c>
      <c r="G560" t="s">
        <v>1197</v>
      </c>
      <c r="H560" s="2">
        <v>13000</v>
      </c>
      <c r="I560" t="s">
        <v>1206</v>
      </c>
      <c r="J560" t="s">
        <v>1030</v>
      </c>
      <c r="K560" t="s">
        <v>1031</v>
      </c>
    </row>
    <row r="561" spans="1:11" x14ac:dyDescent="0.25">
      <c r="A561" t="s">
        <v>560</v>
      </c>
      <c r="B561" s="1">
        <v>45852</v>
      </c>
      <c r="C561">
        <v>2025</v>
      </c>
      <c r="D561" t="s">
        <v>1221</v>
      </c>
      <c r="E561" t="s">
        <v>1207</v>
      </c>
      <c r="F561" t="s">
        <v>1174</v>
      </c>
      <c r="G561" t="s">
        <v>1014</v>
      </c>
      <c r="H561" s="2">
        <v>10000</v>
      </c>
      <c r="I561" t="s">
        <v>1211</v>
      </c>
      <c r="J561" t="s">
        <v>1030</v>
      </c>
      <c r="K561" t="s">
        <v>1031</v>
      </c>
    </row>
    <row r="562" spans="1:11" x14ac:dyDescent="0.25">
      <c r="A562" t="s">
        <v>561</v>
      </c>
      <c r="B562" s="1">
        <v>45866</v>
      </c>
      <c r="C562">
        <v>2025</v>
      </c>
      <c r="D562" t="s">
        <v>1221</v>
      </c>
      <c r="E562" t="s">
        <v>1210</v>
      </c>
      <c r="F562" t="s">
        <v>1025</v>
      </c>
      <c r="G562" t="s">
        <v>1014</v>
      </c>
      <c r="H562" s="2">
        <v>5000</v>
      </c>
      <c r="I562" t="s">
        <v>1212</v>
      </c>
      <c r="J562" t="s">
        <v>1030</v>
      </c>
      <c r="K562" t="s">
        <v>1031</v>
      </c>
    </row>
    <row r="563" spans="1:11" x14ac:dyDescent="0.25">
      <c r="A563" t="s">
        <v>562</v>
      </c>
      <c r="B563" s="1">
        <v>45866</v>
      </c>
      <c r="C563">
        <v>2025</v>
      </c>
      <c r="D563" t="s">
        <v>1221</v>
      </c>
      <c r="E563" t="s">
        <v>1210</v>
      </c>
      <c r="F563" t="s">
        <v>1018</v>
      </c>
      <c r="G563" t="s">
        <v>1013</v>
      </c>
      <c r="H563" s="2">
        <v>3000</v>
      </c>
      <c r="I563" t="s">
        <v>1206</v>
      </c>
      <c r="J563" t="s">
        <v>1030</v>
      </c>
      <c r="K563" t="s">
        <v>1031</v>
      </c>
    </row>
    <row r="564" spans="1:11" x14ac:dyDescent="0.25">
      <c r="A564" t="s">
        <v>563</v>
      </c>
      <c r="B564" s="1">
        <v>45867</v>
      </c>
      <c r="C564">
        <v>2025</v>
      </c>
      <c r="D564" t="s">
        <v>1221</v>
      </c>
      <c r="E564" t="s">
        <v>1213</v>
      </c>
      <c r="F564" t="s">
        <v>1049</v>
      </c>
      <c r="G564" t="s">
        <v>1199</v>
      </c>
      <c r="H564" s="2">
        <v>20000</v>
      </c>
      <c r="I564" t="s">
        <v>1206</v>
      </c>
      <c r="J564" t="s">
        <v>1030</v>
      </c>
      <c r="K564" t="s">
        <v>1031</v>
      </c>
    </row>
    <row r="565" spans="1:11" x14ac:dyDescent="0.25">
      <c r="A565" t="s">
        <v>564</v>
      </c>
      <c r="B565" s="1">
        <v>45868</v>
      </c>
      <c r="C565">
        <v>2025</v>
      </c>
      <c r="D565" t="s">
        <v>1221</v>
      </c>
      <c r="E565" t="s">
        <v>1213</v>
      </c>
      <c r="F565" t="s">
        <v>1175</v>
      </c>
      <c r="G565" t="s">
        <v>1198</v>
      </c>
      <c r="H565" s="2">
        <v>175000</v>
      </c>
      <c r="I565" t="s">
        <v>1206</v>
      </c>
      <c r="J565" t="s">
        <v>1030</v>
      </c>
      <c r="K565" t="s">
        <v>1031</v>
      </c>
    </row>
    <row r="566" spans="1:11" x14ac:dyDescent="0.25">
      <c r="A566" t="s">
        <v>565</v>
      </c>
      <c r="B566" s="1">
        <v>45869</v>
      </c>
      <c r="C566">
        <v>2025</v>
      </c>
      <c r="D566" t="s">
        <v>1221</v>
      </c>
      <c r="E566" t="s">
        <v>1213</v>
      </c>
      <c r="F566" t="s">
        <v>1018</v>
      </c>
      <c r="G566" t="s">
        <v>1013</v>
      </c>
      <c r="H566" s="2">
        <v>5000</v>
      </c>
      <c r="I566" t="s">
        <v>1206</v>
      </c>
      <c r="J566" t="s">
        <v>1030</v>
      </c>
      <c r="K566" t="s">
        <v>1031</v>
      </c>
    </row>
    <row r="567" spans="1:11" x14ac:dyDescent="0.25">
      <c r="A567" t="s">
        <v>566</v>
      </c>
      <c r="B567" s="1">
        <v>45869</v>
      </c>
      <c r="C567">
        <v>2025</v>
      </c>
      <c r="D567" t="s">
        <v>1221</v>
      </c>
      <c r="E567" t="s">
        <v>1213</v>
      </c>
      <c r="F567" t="s">
        <v>1046</v>
      </c>
      <c r="G567" t="s">
        <v>1014</v>
      </c>
      <c r="H567" s="2">
        <v>6000</v>
      </c>
      <c r="I567" t="s">
        <v>1206</v>
      </c>
      <c r="J567" t="s">
        <v>1030</v>
      </c>
      <c r="K567" t="s">
        <v>1031</v>
      </c>
    </row>
    <row r="568" spans="1:11" x14ac:dyDescent="0.25">
      <c r="A568" t="s">
        <v>567</v>
      </c>
      <c r="B568" s="1">
        <v>45842</v>
      </c>
      <c r="C568">
        <v>2025</v>
      </c>
      <c r="D568" t="s">
        <v>1221</v>
      </c>
      <c r="E568" t="s">
        <v>1205</v>
      </c>
      <c r="F568" t="s">
        <v>1035</v>
      </c>
      <c r="G568" t="s">
        <v>1197</v>
      </c>
      <c r="H568" s="2">
        <v>13000</v>
      </c>
      <c r="I568" t="s">
        <v>1206</v>
      </c>
      <c r="J568" t="s">
        <v>1030</v>
      </c>
      <c r="K568" t="s">
        <v>1031</v>
      </c>
    </row>
    <row r="569" spans="1:11" x14ac:dyDescent="0.25">
      <c r="A569" t="s">
        <v>568</v>
      </c>
      <c r="B569" s="1">
        <v>45870</v>
      </c>
      <c r="C569">
        <v>2025</v>
      </c>
      <c r="D569" t="s">
        <v>1222</v>
      </c>
      <c r="E569" t="s">
        <v>1205</v>
      </c>
      <c r="F569" t="s">
        <v>1037</v>
      </c>
      <c r="G569" t="s">
        <v>1199</v>
      </c>
      <c r="H569" s="2">
        <v>24000</v>
      </c>
      <c r="I569" t="s">
        <v>1206</v>
      </c>
      <c r="J569" t="s">
        <v>1030</v>
      </c>
      <c r="K569" t="s">
        <v>1031</v>
      </c>
    </row>
    <row r="570" spans="1:11" x14ac:dyDescent="0.25">
      <c r="A570" t="s">
        <v>569</v>
      </c>
      <c r="B570" s="1">
        <v>45873</v>
      </c>
      <c r="C570">
        <v>2025</v>
      </c>
      <c r="D570" t="s">
        <v>1222</v>
      </c>
      <c r="E570" t="s">
        <v>1205</v>
      </c>
      <c r="F570" t="s">
        <v>1040</v>
      </c>
      <c r="G570" t="s">
        <v>1199</v>
      </c>
      <c r="H570" s="2">
        <v>24000</v>
      </c>
      <c r="I570" t="s">
        <v>1206</v>
      </c>
      <c r="J570" t="s">
        <v>1030</v>
      </c>
      <c r="K570" t="s">
        <v>1031</v>
      </c>
    </row>
    <row r="571" spans="1:11" x14ac:dyDescent="0.25">
      <c r="A571" t="s">
        <v>570</v>
      </c>
      <c r="B571" s="1">
        <v>45873</v>
      </c>
      <c r="C571">
        <v>2025</v>
      </c>
      <c r="D571" t="s">
        <v>1222</v>
      </c>
      <c r="E571" t="s">
        <v>1205</v>
      </c>
      <c r="F571" t="s">
        <v>1035</v>
      </c>
      <c r="G571" t="s">
        <v>1197</v>
      </c>
      <c r="H571" s="2">
        <v>13000</v>
      </c>
      <c r="I571" t="s">
        <v>1206</v>
      </c>
      <c r="J571" t="s">
        <v>1030</v>
      </c>
      <c r="K571" t="s">
        <v>1031</v>
      </c>
    </row>
    <row r="572" spans="1:11" x14ac:dyDescent="0.25">
      <c r="A572" t="s">
        <v>571</v>
      </c>
      <c r="B572" s="1">
        <v>45874</v>
      </c>
      <c r="C572">
        <v>2025</v>
      </c>
      <c r="D572" t="s">
        <v>1222</v>
      </c>
      <c r="E572" t="s">
        <v>1205</v>
      </c>
      <c r="F572" t="s">
        <v>1124</v>
      </c>
      <c r="G572" t="s">
        <v>1010</v>
      </c>
      <c r="H572" s="2">
        <v>12000</v>
      </c>
      <c r="I572" t="s">
        <v>1206</v>
      </c>
      <c r="J572" t="s">
        <v>1030</v>
      </c>
      <c r="K572" t="s">
        <v>1031</v>
      </c>
    </row>
    <row r="573" spans="1:11" x14ac:dyDescent="0.25">
      <c r="A573" t="s">
        <v>572</v>
      </c>
      <c r="B573" s="1">
        <v>45874</v>
      </c>
      <c r="C573">
        <v>2025</v>
      </c>
      <c r="D573" t="s">
        <v>1222</v>
      </c>
      <c r="E573" t="s">
        <v>1205</v>
      </c>
      <c r="F573" t="s">
        <v>1176</v>
      </c>
      <c r="G573" t="s">
        <v>1012</v>
      </c>
      <c r="H573" s="2">
        <v>135000</v>
      </c>
      <c r="I573" t="s">
        <v>1206</v>
      </c>
      <c r="J573" t="s">
        <v>1030</v>
      </c>
      <c r="K573" t="s">
        <v>1031</v>
      </c>
    </row>
    <row r="574" spans="1:11" x14ac:dyDescent="0.25">
      <c r="A574" t="s">
        <v>573</v>
      </c>
      <c r="B574" s="1">
        <v>45875</v>
      </c>
      <c r="C574">
        <v>2025</v>
      </c>
      <c r="D574" t="s">
        <v>1222</v>
      </c>
      <c r="E574" t="s">
        <v>1205</v>
      </c>
      <c r="F574" t="s">
        <v>1018</v>
      </c>
      <c r="G574" t="s">
        <v>1013</v>
      </c>
      <c r="H574" s="2">
        <v>4000</v>
      </c>
      <c r="I574" t="s">
        <v>1206</v>
      </c>
      <c r="J574" t="s">
        <v>1030</v>
      </c>
      <c r="K574" t="s">
        <v>1031</v>
      </c>
    </row>
    <row r="575" spans="1:11" x14ac:dyDescent="0.25">
      <c r="A575" t="s">
        <v>574</v>
      </c>
      <c r="B575" s="1">
        <v>45877</v>
      </c>
      <c r="C575">
        <v>2025</v>
      </c>
      <c r="D575" t="s">
        <v>1222</v>
      </c>
      <c r="E575" t="s">
        <v>1207</v>
      </c>
      <c r="F575" t="s">
        <v>1124</v>
      </c>
      <c r="G575" t="s">
        <v>1010</v>
      </c>
      <c r="H575" s="2">
        <v>8000</v>
      </c>
      <c r="I575" t="s">
        <v>1206</v>
      </c>
      <c r="J575" t="s">
        <v>1030</v>
      </c>
      <c r="K575" t="s">
        <v>1031</v>
      </c>
    </row>
    <row r="576" spans="1:11" x14ac:dyDescent="0.25">
      <c r="A576" t="s">
        <v>575</v>
      </c>
      <c r="B576" s="1">
        <v>45877</v>
      </c>
      <c r="C576">
        <v>2025</v>
      </c>
      <c r="D576" t="s">
        <v>1222</v>
      </c>
      <c r="E576" t="s">
        <v>1207</v>
      </c>
      <c r="F576" t="s">
        <v>1033</v>
      </c>
      <c r="G576" t="s">
        <v>1014</v>
      </c>
      <c r="H576" s="2">
        <v>123760</v>
      </c>
      <c r="I576" t="s">
        <v>1206</v>
      </c>
      <c r="J576" t="s">
        <v>1030</v>
      </c>
      <c r="K576" t="s">
        <v>1031</v>
      </c>
    </row>
    <row r="577" spans="1:11" x14ac:dyDescent="0.25">
      <c r="A577" t="s">
        <v>576</v>
      </c>
      <c r="B577" s="1">
        <v>45879</v>
      </c>
      <c r="C577">
        <v>2025</v>
      </c>
      <c r="D577" t="s">
        <v>1222</v>
      </c>
      <c r="E577" t="s">
        <v>1207</v>
      </c>
      <c r="F577" t="s">
        <v>1102</v>
      </c>
      <c r="G577" t="s">
        <v>1011</v>
      </c>
      <c r="H577" s="2">
        <v>4700</v>
      </c>
      <c r="I577" t="s">
        <v>1206</v>
      </c>
      <c r="J577" t="s">
        <v>1030</v>
      </c>
      <c r="K577" t="s">
        <v>1031</v>
      </c>
    </row>
    <row r="578" spans="1:11" x14ac:dyDescent="0.25">
      <c r="A578" t="s">
        <v>577</v>
      </c>
      <c r="B578" s="1">
        <v>45880</v>
      </c>
      <c r="C578">
        <v>2025</v>
      </c>
      <c r="D578" t="s">
        <v>1222</v>
      </c>
      <c r="E578" t="s">
        <v>1207</v>
      </c>
      <c r="F578" t="s">
        <v>1035</v>
      </c>
      <c r="G578" t="s">
        <v>1197</v>
      </c>
      <c r="H578" s="2">
        <v>13000</v>
      </c>
      <c r="I578" t="s">
        <v>1206</v>
      </c>
      <c r="J578" t="s">
        <v>1030</v>
      </c>
      <c r="K578" t="s">
        <v>1031</v>
      </c>
    </row>
    <row r="579" spans="1:11" x14ac:dyDescent="0.25">
      <c r="A579" t="s">
        <v>578</v>
      </c>
      <c r="B579" s="1">
        <v>45883</v>
      </c>
      <c r="C579">
        <v>2025</v>
      </c>
      <c r="D579" t="s">
        <v>1222</v>
      </c>
      <c r="E579" t="s">
        <v>1207</v>
      </c>
      <c r="F579" t="s">
        <v>1102</v>
      </c>
      <c r="G579" t="s">
        <v>1011</v>
      </c>
      <c r="H579" s="2">
        <v>18000</v>
      </c>
      <c r="I579" t="s">
        <v>1211</v>
      </c>
      <c r="J579" t="s">
        <v>1030</v>
      </c>
      <c r="K579" t="s">
        <v>1031</v>
      </c>
    </row>
    <row r="580" spans="1:11" x14ac:dyDescent="0.25">
      <c r="A580" t="s">
        <v>579</v>
      </c>
      <c r="B580" s="1">
        <v>45883</v>
      </c>
      <c r="C580">
        <v>2025</v>
      </c>
      <c r="D580" t="s">
        <v>1222</v>
      </c>
      <c r="E580" t="s">
        <v>1207</v>
      </c>
      <c r="F580" t="s">
        <v>1177</v>
      </c>
      <c r="G580" t="s">
        <v>1015</v>
      </c>
      <c r="H580" s="2">
        <v>5000</v>
      </c>
      <c r="I580" t="s">
        <v>1212</v>
      </c>
      <c r="J580" t="s">
        <v>1030</v>
      </c>
      <c r="K580" t="s">
        <v>1031</v>
      </c>
    </row>
    <row r="581" spans="1:11" x14ac:dyDescent="0.25">
      <c r="A581" t="s">
        <v>580</v>
      </c>
      <c r="B581" s="1">
        <v>45887</v>
      </c>
      <c r="C581">
        <v>2025</v>
      </c>
      <c r="D581" t="s">
        <v>1222</v>
      </c>
      <c r="E581" t="s">
        <v>1208</v>
      </c>
      <c r="F581" t="s">
        <v>1018</v>
      </c>
      <c r="G581" t="s">
        <v>1013</v>
      </c>
      <c r="H581" s="2">
        <v>5000</v>
      </c>
      <c r="I581" t="s">
        <v>1206</v>
      </c>
      <c r="J581" t="s">
        <v>1030</v>
      </c>
      <c r="K581" t="s">
        <v>1031</v>
      </c>
    </row>
    <row r="582" spans="1:11" x14ac:dyDescent="0.25">
      <c r="A582" t="s">
        <v>581</v>
      </c>
      <c r="B582" s="1">
        <v>45887</v>
      </c>
      <c r="C582">
        <v>2025</v>
      </c>
      <c r="D582" t="s">
        <v>1222</v>
      </c>
      <c r="E582" t="s">
        <v>1208</v>
      </c>
      <c r="F582" t="s">
        <v>1035</v>
      </c>
      <c r="G582" t="s">
        <v>1197</v>
      </c>
      <c r="H582" s="2">
        <v>13000</v>
      </c>
      <c r="I582" t="s">
        <v>1206</v>
      </c>
      <c r="J582" t="s">
        <v>1030</v>
      </c>
      <c r="K582" t="s">
        <v>1031</v>
      </c>
    </row>
    <row r="583" spans="1:11" x14ac:dyDescent="0.25">
      <c r="A583" t="s">
        <v>582</v>
      </c>
      <c r="B583" s="1">
        <v>45887</v>
      </c>
      <c r="C583">
        <v>2025</v>
      </c>
      <c r="D583" t="s">
        <v>1222</v>
      </c>
      <c r="E583" t="s">
        <v>1208</v>
      </c>
      <c r="F583" t="s">
        <v>1046</v>
      </c>
      <c r="G583" t="s">
        <v>1014</v>
      </c>
      <c r="H583" s="2">
        <v>6000</v>
      </c>
      <c r="I583" t="s">
        <v>1212</v>
      </c>
      <c r="J583" t="s">
        <v>1030</v>
      </c>
      <c r="K583" t="s">
        <v>1031</v>
      </c>
    </row>
    <row r="584" spans="1:11" x14ac:dyDescent="0.25">
      <c r="A584" t="s">
        <v>583</v>
      </c>
      <c r="B584" s="1">
        <v>45888</v>
      </c>
      <c r="C584">
        <v>2025</v>
      </c>
      <c r="D584" t="s">
        <v>1222</v>
      </c>
      <c r="E584" t="s">
        <v>1208</v>
      </c>
      <c r="F584" t="s">
        <v>1232</v>
      </c>
      <c r="G584" t="s">
        <v>1198</v>
      </c>
      <c r="H584" s="2">
        <v>18000</v>
      </c>
      <c r="I584" t="s">
        <v>1212</v>
      </c>
      <c r="J584" t="s">
        <v>1030</v>
      </c>
      <c r="K584" t="s">
        <v>1031</v>
      </c>
    </row>
    <row r="585" spans="1:11" x14ac:dyDescent="0.25">
      <c r="A585" t="s">
        <v>584</v>
      </c>
      <c r="B585" s="1">
        <v>45889</v>
      </c>
      <c r="C585">
        <v>2025</v>
      </c>
      <c r="D585" t="s">
        <v>1222</v>
      </c>
      <c r="E585" t="s">
        <v>1208</v>
      </c>
      <c r="F585" t="s">
        <v>1179</v>
      </c>
      <c r="G585" t="s">
        <v>1198</v>
      </c>
      <c r="H585" s="2">
        <v>13000</v>
      </c>
      <c r="I585" t="s">
        <v>1206</v>
      </c>
      <c r="J585" t="s">
        <v>1030</v>
      </c>
      <c r="K585" t="s">
        <v>1031</v>
      </c>
    </row>
    <row r="586" spans="1:11" x14ac:dyDescent="0.25">
      <c r="A586" t="s">
        <v>585</v>
      </c>
      <c r="B586" s="1">
        <v>45894</v>
      </c>
      <c r="C586">
        <v>2025</v>
      </c>
      <c r="D586" t="s">
        <v>1222</v>
      </c>
      <c r="E586" t="s">
        <v>1210</v>
      </c>
      <c r="F586" t="s">
        <v>1180</v>
      </c>
      <c r="G586" t="s">
        <v>1198</v>
      </c>
      <c r="H586" s="2">
        <v>5000</v>
      </c>
      <c r="I586" t="s">
        <v>1206</v>
      </c>
      <c r="J586" t="s">
        <v>1030</v>
      </c>
      <c r="K586" t="s">
        <v>1031</v>
      </c>
    </row>
    <row r="587" spans="1:11" x14ac:dyDescent="0.25">
      <c r="A587" t="s">
        <v>586</v>
      </c>
      <c r="B587" s="1">
        <v>45894</v>
      </c>
      <c r="C587">
        <v>2025</v>
      </c>
      <c r="D587" t="s">
        <v>1222</v>
      </c>
      <c r="E587" t="s">
        <v>1210</v>
      </c>
      <c r="F587" t="s">
        <v>1124</v>
      </c>
      <c r="G587" t="s">
        <v>1010</v>
      </c>
      <c r="H587" s="2">
        <v>10000</v>
      </c>
      <c r="I587" t="s">
        <v>1212</v>
      </c>
      <c r="J587" t="s">
        <v>1030</v>
      </c>
      <c r="K587" t="s">
        <v>1031</v>
      </c>
    </row>
    <row r="588" spans="1:11" x14ac:dyDescent="0.25">
      <c r="A588" t="s">
        <v>587</v>
      </c>
      <c r="B588" s="1">
        <v>45896</v>
      </c>
      <c r="C588">
        <v>2025</v>
      </c>
      <c r="D588" t="s">
        <v>1222</v>
      </c>
      <c r="E588" t="s">
        <v>1210</v>
      </c>
      <c r="F588" t="s">
        <v>1102</v>
      </c>
      <c r="G588" t="s">
        <v>1011</v>
      </c>
      <c r="H588" s="2">
        <v>22000</v>
      </c>
      <c r="I588" t="s">
        <v>1212</v>
      </c>
      <c r="J588" t="s">
        <v>1030</v>
      </c>
      <c r="K588" t="s">
        <v>1031</v>
      </c>
    </row>
    <row r="589" spans="1:11" x14ac:dyDescent="0.25">
      <c r="A589" t="s">
        <v>588</v>
      </c>
      <c r="B589" s="1">
        <v>45896</v>
      </c>
      <c r="C589">
        <v>2025</v>
      </c>
      <c r="D589" t="s">
        <v>1222</v>
      </c>
      <c r="E589" t="s">
        <v>1210</v>
      </c>
      <c r="F589" t="s">
        <v>1025</v>
      </c>
      <c r="G589" t="s">
        <v>1014</v>
      </c>
      <c r="H589" s="2">
        <v>5000</v>
      </c>
      <c r="I589" t="s">
        <v>1206</v>
      </c>
      <c r="J589" t="s">
        <v>1030</v>
      </c>
      <c r="K589" t="s">
        <v>1031</v>
      </c>
    </row>
    <row r="590" spans="1:11" x14ac:dyDescent="0.25">
      <c r="A590" t="s">
        <v>589</v>
      </c>
      <c r="B590" s="1">
        <v>45898</v>
      </c>
      <c r="C590">
        <v>2025</v>
      </c>
      <c r="D590" t="s">
        <v>1222</v>
      </c>
      <c r="E590" t="s">
        <v>1213</v>
      </c>
      <c r="F590" t="s">
        <v>1049</v>
      </c>
      <c r="G590" t="s">
        <v>1199</v>
      </c>
      <c r="H590" s="2">
        <v>20000</v>
      </c>
      <c r="I590" t="s">
        <v>1206</v>
      </c>
      <c r="J590" t="s">
        <v>1030</v>
      </c>
      <c r="K590" t="s">
        <v>1031</v>
      </c>
    </row>
    <row r="591" spans="1:11" x14ac:dyDescent="0.25">
      <c r="A591" t="s">
        <v>590</v>
      </c>
      <c r="B591" s="1">
        <v>45901</v>
      </c>
      <c r="C591">
        <v>2025</v>
      </c>
      <c r="D591" t="s">
        <v>1223</v>
      </c>
      <c r="E591" t="s">
        <v>1205</v>
      </c>
      <c r="F591" t="s">
        <v>1119</v>
      </c>
      <c r="G591" t="s">
        <v>1011</v>
      </c>
      <c r="H591" s="2">
        <v>15000</v>
      </c>
      <c r="I591" t="s">
        <v>1206</v>
      </c>
      <c r="J591" t="s">
        <v>1030</v>
      </c>
      <c r="K591" t="s">
        <v>1031</v>
      </c>
    </row>
    <row r="592" spans="1:11" x14ac:dyDescent="0.25">
      <c r="A592" t="s">
        <v>591</v>
      </c>
      <c r="B592" s="1">
        <v>45901</v>
      </c>
      <c r="C592">
        <v>2025</v>
      </c>
      <c r="D592" t="s">
        <v>1223</v>
      </c>
      <c r="E592" t="s">
        <v>1205</v>
      </c>
      <c r="F592" t="s">
        <v>1033</v>
      </c>
      <c r="G592" t="s">
        <v>1014</v>
      </c>
      <c r="H592" s="2">
        <v>125640</v>
      </c>
      <c r="I592" t="s">
        <v>1211</v>
      </c>
      <c r="J592" t="s">
        <v>1030</v>
      </c>
      <c r="K592" t="s">
        <v>1031</v>
      </c>
    </row>
    <row r="593" spans="1:11" x14ac:dyDescent="0.25">
      <c r="A593" t="s">
        <v>592</v>
      </c>
      <c r="B593" s="1">
        <v>45901</v>
      </c>
      <c r="C593">
        <v>2025</v>
      </c>
      <c r="D593" t="s">
        <v>1223</v>
      </c>
      <c r="E593" t="s">
        <v>1205</v>
      </c>
      <c r="F593" t="s">
        <v>1035</v>
      </c>
      <c r="G593" t="s">
        <v>1197</v>
      </c>
      <c r="H593" s="2">
        <v>13000</v>
      </c>
      <c r="I593" t="s">
        <v>1206</v>
      </c>
      <c r="J593" t="s">
        <v>1030</v>
      </c>
      <c r="K593" t="s">
        <v>1031</v>
      </c>
    </row>
    <row r="594" spans="1:11" x14ac:dyDescent="0.25">
      <c r="A594" t="s">
        <v>593</v>
      </c>
      <c r="B594" s="1">
        <v>45901</v>
      </c>
      <c r="C594">
        <v>2025</v>
      </c>
      <c r="D594" t="s">
        <v>1223</v>
      </c>
      <c r="E594" t="s">
        <v>1205</v>
      </c>
      <c r="F594" t="s">
        <v>1037</v>
      </c>
      <c r="G594" t="s">
        <v>1199</v>
      </c>
      <c r="H594" s="2">
        <v>24000</v>
      </c>
      <c r="I594" t="s">
        <v>1206</v>
      </c>
      <c r="J594" t="s">
        <v>1030</v>
      </c>
      <c r="K594" t="s">
        <v>1031</v>
      </c>
    </row>
    <row r="595" spans="1:11" x14ac:dyDescent="0.25">
      <c r="A595" t="s">
        <v>594</v>
      </c>
      <c r="B595" s="1">
        <v>45902</v>
      </c>
      <c r="C595">
        <v>2025</v>
      </c>
      <c r="D595" t="s">
        <v>1223</v>
      </c>
      <c r="E595" t="s">
        <v>1205</v>
      </c>
      <c r="F595" t="s">
        <v>1040</v>
      </c>
      <c r="G595" t="s">
        <v>1199</v>
      </c>
      <c r="H595" s="2">
        <v>24000</v>
      </c>
      <c r="I595" t="s">
        <v>1206</v>
      </c>
      <c r="J595" t="s">
        <v>1030</v>
      </c>
      <c r="K595" t="s">
        <v>1031</v>
      </c>
    </row>
    <row r="596" spans="1:11" x14ac:dyDescent="0.25">
      <c r="A596" t="s">
        <v>595</v>
      </c>
      <c r="B596" s="1">
        <v>45904</v>
      </c>
      <c r="C596">
        <v>2025</v>
      </c>
      <c r="D596" t="s">
        <v>1223</v>
      </c>
      <c r="E596" t="s">
        <v>1205</v>
      </c>
      <c r="F596" t="s">
        <v>1233</v>
      </c>
      <c r="G596" t="s">
        <v>1010</v>
      </c>
      <c r="H596" s="2">
        <v>5000</v>
      </c>
      <c r="I596" t="s">
        <v>1206</v>
      </c>
      <c r="J596" t="s">
        <v>1030</v>
      </c>
      <c r="K596" t="s">
        <v>1031</v>
      </c>
    </row>
    <row r="597" spans="1:11" x14ac:dyDescent="0.25">
      <c r="A597" t="s">
        <v>596</v>
      </c>
      <c r="B597" s="1">
        <v>45908</v>
      </c>
      <c r="C597">
        <v>2025</v>
      </c>
      <c r="D597" t="s">
        <v>1223</v>
      </c>
      <c r="E597" t="s">
        <v>1207</v>
      </c>
      <c r="F597" t="s">
        <v>1035</v>
      </c>
      <c r="G597" t="s">
        <v>1197</v>
      </c>
      <c r="H597" s="2">
        <v>13000</v>
      </c>
      <c r="I597" t="s">
        <v>1206</v>
      </c>
      <c r="J597" t="s">
        <v>1030</v>
      </c>
      <c r="K597" t="s">
        <v>1031</v>
      </c>
    </row>
    <row r="598" spans="1:11" x14ac:dyDescent="0.25">
      <c r="A598" t="s">
        <v>597</v>
      </c>
      <c r="B598" s="1">
        <v>45908</v>
      </c>
      <c r="C598">
        <v>2025</v>
      </c>
      <c r="D598" t="s">
        <v>1223</v>
      </c>
      <c r="E598" t="s">
        <v>1207</v>
      </c>
      <c r="F598" t="s">
        <v>1046</v>
      </c>
      <c r="G598" t="s">
        <v>1014</v>
      </c>
      <c r="H598" s="2">
        <v>6000</v>
      </c>
      <c r="I598" t="s">
        <v>1206</v>
      </c>
      <c r="J598" t="s">
        <v>1030</v>
      </c>
      <c r="K598" t="s">
        <v>1031</v>
      </c>
    </row>
    <row r="599" spans="1:11" x14ac:dyDescent="0.25">
      <c r="A599" t="s">
        <v>598</v>
      </c>
      <c r="B599" s="1">
        <v>45908</v>
      </c>
      <c r="C599">
        <v>2025</v>
      </c>
      <c r="D599" t="s">
        <v>1223</v>
      </c>
      <c r="E599" t="s">
        <v>1207</v>
      </c>
      <c r="F599" t="s">
        <v>1182</v>
      </c>
      <c r="G599" t="s">
        <v>1198</v>
      </c>
      <c r="H599" s="2">
        <v>3000</v>
      </c>
      <c r="I599" t="s">
        <v>1206</v>
      </c>
      <c r="J599" t="s">
        <v>1030</v>
      </c>
      <c r="K599" t="s">
        <v>1031</v>
      </c>
    </row>
    <row r="600" spans="1:11" x14ac:dyDescent="0.25">
      <c r="A600" t="s">
        <v>599</v>
      </c>
      <c r="B600" s="1">
        <v>45914</v>
      </c>
      <c r="C600">
        <v>2025</v>
      </c>
      <c r="D600" t="s">
        <v>1223</v>
      </c>
      <c r="E600" t="s">
        <v>1207</v>
      </c>
      <c r="F600" t="s">
        <v>1018</v>
      </c>
      <c r="G600" t="s">
        <v>1013</v>
      </c>
      <c r="H600" s="2">
        <v>4000</v>
      </c>
      <c r="I600" t="s">
        <v>1206</v>
      </c>
      <c r="J600" t="s">
        <v>1030</v>
      </c>
      <c r="K600" t="s">
        <v>1031</v>
      </c>
    </row>
    <row r="601" spans="1:11" x14ac:dyDescent="0.25">
      <c r="A601" t="s">
        <v>600</v>
      </c>
      <c r="B601" s="1">
        <v>45915</v>
      </c>
      <c r="C601">
        <v>2025</v>
      </c>
      <c r="D601" t="s">
        <v>1223</v>
      </c>
      <c r="E601" t="s">
        <v>1208</v>
      </c>
      <c r="F601" t="s">
        <v>1035</v>
      </c>
      <c r="G601" t="s">
        <v>1197</v>
      </c>
      <c r="H601" s="2">
        <v>13000</v>
      </c>
      <c r="I601" t="s">
        <v>1206</v>
      </c>
      <c r="J601" t="s">
        <v>1030</v>
      </c>
      <c r="K601" t="s">
        <v>1031</v>
      </c>
    </row>
    <row r="602" spans="1:11" x14ac:dyDescent="0.25">
      <c r="A602" t="s">
        <v>601</v>
      </c>
      <c r="B602" s="1">
        <v>45916</v>
      </c>
      <c r="C602">
        <v>2025</v>
      </c>
      <c r="D602" t="s">
        <v>1223</v>
      </c>
      <c r="E602" t="s">
        <v>1208</v>
      </c>
      <c r="F602" t="s">
        <v>1124</v>
      </c>
      <c r="G602" t="s">
        <v>1010</v>
      </c>
      <c r="H602" s="2">
        <v>15000</v>
      </c>
      <c r="I602" t="s">
        <v>1212</v>
      </c>
      <c r="J602" t="s">
        <v>1030</v>
      </c>
      <c r="K602" t="s">
        <v>1031</v>
      </c>
    </row>
    <row r="603" spans="1:11" x14ac:dyDescent="0.25">
      <c r="A603" t="s">
        <v>602</v>
      </c>
      <c r="B603" s="1">
        <v>45917</v>
      </c>
      <c r="C603">
        <v>2025</v>
      </c>
      <c r="D603" t="s">
        <v>1223</v>
      </c>
      <c r="E603" t="s">
        <v>1208</v>
      </c>
      <c r="F603" t="s">
        <v>1018</v>
      </c>
      <c r="G603" t="s">
        <v>1013</v>
      </c>
      <c r="H603" s="2">
        <v>5000</v>
      </c>
      <c r="I603" t="s">
        <v>1206</v>
      </c>
      <c r="J603" t="s">
        <v>1030</v>
      </c>
      <c r="K603" t="s">
        <v>1031</v>
      </c>
    </row>
    <row r="604" spans="1:11" x14ac:dyDescent="0.25">
      <c r="A604" t="s">
        <v>603</v>
      </c>
      <c r="B604" s="1">
        <v>45903</v>
      </c>
      <c r="C604">
        <v>2025</v>
      </c>
      <c r="D604" t="s">
        <v>1223</v>
      </c>
      <c r="E604" t="s">
        <v>1205</v>
      </c>
      <c r="F604" t="s">
        <v>1025</v>
      </c>
      <c r="G604" t="s">
        <v>1014</v>
      </c>
      <c r="H604" s="2">
        <v>10000</v>
      </c>
      <c r="I604" t="s">
        <v>1206</v>
      </c>
      <c r="J604" t="s">
        <v>1030</v>
      </c>
      <c r="K604" t="s">
        <v>1031</v>
      </c>
    </row>
    <row r="605" spans="1:11" x14ac:dyDescent="0.25">
      <c r="A605" t="s">
        <v>604</v>
      </c>
      <c r="B605" s="1">
        <v>45922</v>
      </c>
      <c r="C605">
        <v>2025</v>
      </c>
      <c r="D605" t="s">
        <v>1223</v>
      </c>
      <c r="E605" t="s">
        <v>1210</v>
      </c>
      <c r="F605" t="s">
        <v>1035</v>
      </c>
      <c r="G605" t="s">
        <v>1197</v>
      </c>
      <c r="H605" s="2">
        <v>13000</v>
      </c>
      <c r="I605" t="s">
        <v>1206</v>
      </c>
      <c r="J605" t="s">
        <v>1030</v>
      </c>
      <c r="K605" t="s">
        <v>1031</v>
      </c>
    </row>
    <row r="606" spans="1:11" x14ac:dyDescent="0.25">
      <c r="A606" t="s">
        <v>605</v>
      </c>
      <c r="B606" s="1">
        <v>45923</v>
      </c>
      <c r="C606">
        <v>2025</v>
      </c>
      <c r="D606" t="s">
        <v>1223</v>
      </c>
      <c r="E606" t="s">
        <v>1210</v>
      </c>
      <c r="F606" t="s">
        <v>1046</v>
      </c>
      <c r="G606" t="s">
        <v>1014</v>
      </c>
      <c r="H606" s="2">
        <v>6000</v>
      </c>
      <c r="I606" t="s">
        <v>1206</v>
      </c>
      <c r="J606" t="s">
        <v>1030</v>
      </c>
      <c r="K606" t="s">
        <v>1031</v>
      </c>
    </row>
    <row r="607" spans="1:11" x14ac:dyDescent="0.25">
      <c r="A607" t="s">
        <v>606</v>
      </c>
      <c r="B607" s="1">
        <v>45923</v>
      </c>
      <c r="C607">
        <v>2025</v>
      </c>
      <c r="D607" t="s">
        <v>1223</v>
      </c>
      <c r="E607" t="s">
        <v>1210</v>
      </c>
      <c r="F607" t="s">
        <v>1124</v>
      </c>
      <c r="G607" t="s">
        <v>1010</v>
      </c>
      <c r="H607" s="2">
        <v>15000</v>
      </c>
      <c r="I607" t="s">
        <v>1211</v>
      </c>
      <c r="J607" t="s">
        <v>1030</v>
      </c>
      <c r="K607" t="s">
        <v>1031</v>
      </c>
    </row>
    <row r="608" spans="1:11" x14ac:dyDescent="0.25">
      <c r="A608" t="s">
        <v>607</v>
      </c>
      <c r="B608" s="1">
        <v>45924</v>
      </c>
      <c r="C608">
        <v>2025</v>
      </c>
      <c r="D608" t="s">
        <v>1223</v>
      </c>
      <c r="E608" t="s">
        <v>1210</v>
      </c>
      <c r="F608" t="s">
        <v>1183</v>
      </c>
      <c r="G608" t="s">
        <v>1010</v>
      </c>
      <c r="H608" s="2">
        <v>5000</v>
      </c>
      <c r="I608" t="s">
        <v>1206</v>
      </c>
      <c r="J608" t="s">
        <v>1030</v>
      </c>
      <c r="K608" t="s">
        <v>1031</v>
      </c>
    </row>
    <row r="609" spans="1:11" x14ac:dyDescent="0.25">
      <c r="A609" t="s">
        <v>608</v>
      </c>
      <c r="B609" s="1">
        <v>45924</v>
      </c>
      <c r="C609">
        <v>2025</v>
      </c>
      <c r="D609" t="s">
        <v>1223</v>
      </c>
      <c r="E609" t="s">
        <v>1210</v>
      </c>
      <c r="F609" t="s">
        <v>1070</v>
      </c>
      <c r="G609" t="s">
        <v>1010</v>
      </c>
      <c r="H609" s="2">
        <v>12000</v>
      </c>
      <c r="I609" t="s">
        <v>1206</v>
      </c>
      <c r="J609" t="s">
        <v>1030</v>
      </c>
      <c r="K609" t="s">
        <v>1031</v>
      </c>
    </row>
    <row r="610" spans="1:11" x14ac:dyDescent="0.25">
      <c r="A610" t="s">
        <v>609</v>
      </c>
      <c r="B610" s="1">
        <v>45929</v>
      </c>
      <c r="C610">
        <v>2025</v>
      </c>
      <c r="D610" t="s">
        <v>1223</v>
      </c>
      <c r="E610" t="s">
        <v>1213</v>
      </c>
      <c r="F610" t="s">
        <v>1035</v>
      </c>
      <c r="G610" t="s">
        <v>1197</v>
      </c>
      <c r="H610" s="2">
        <v>13000</v>
      </c>
      <c r="I610" t="s">
        <v>1206</v>
      </c>
      <c r="J610" t="s">
        <v>1030</v>
      </c>
      <c r="K610" t="s">
        <v>1031</v>
      </c>
    </row>
    <row r="611" spans="1:11" x14ac:dyDescent="0.25">
      <c r="A611" t="s">
        <v>610</v>
      </c>
      <c r="B611" s="1">
        <v>45930</v>
      </c>
      <c r="C611">
        <v>2025</v>
      </c>
      <c r="D611" t="s">
        <v>1223</v>
      </c>
      <c r="E611" t="s">
        <v>1213</v>
      </c>
      <c r="F611" t="s">
        <v>1025</v>
      </c>
      <c r="G611" t="s">
        <v>1014</v>
      </c>
      <c r="H611" s="2">
        <v>5000</v>
      </c>
      <c r="I611" t="s">
        <v>1206</v>
      </c>
      <c r="J611" t="s">
        <v>1030</v>
      </c>
      <c r="K611" t="s">
        <v>1031</v>
      </c>
    </row>
    <row r="612" spans="1:11" x14ac:dyDescent="0.25">
      <c r="A612" t="s">
        <v>611</v>
      </c>
      <c r="B612" s="1">
        <v>45929</v>
      </c>
      <c r="C612">
        <v>2025</v>
      </c>
      <c r="D612" t="s">
        <v>1223</v>
      </c>
      <c r="E612" t="s">
        <v>1213</v>
      </c>
      <c r="F612" t="s">
        <v>1049</v>
      </c>
      <c r="G612" t="s">
        <v>1199</v>
      </c>
      <c r="H612" s="2">
        <v>20000</v>
      </c>
      <c r="I612" t="s">
        <v>1206</v>
      </c>
      <c r="J612" t="s">
        <v>1030</v>
      </c>
      <c r="K612" t="s">
        <v>1031</v>
      </c>
    </row>
    <row r="613" spans="1:11" x14ac:dyDescent="0.25">
      <c r="A613" t="s">
        <v>612</v>
      </c>
      <c r="B613" s="1">
        <v>45930</v>
      </c>
      <c r="C613">
        <v>2025</v>
      </c>
      <c r="D613" t="s">
        <v>1223</v>
      </c>
      <c r="E613" t="s">
        <v>1213</v>
      </c>
      <c r="F613" t="s">
        <v>1102</v>
      </c>
      <c r="G613" t="s">
        <v>1011</v>
      </c>
      <c r="H613" s="2">
        <v>22000</v>
      </c>
      <c r="I613" t="s">
        <v>1211</v>
      </c>
      <c r="J613" t="s">
        <v>1030</v>
      </c>
      <c r="K613" t="s">
        <v>1031</v>
      </c>
    </row>
    <row r="614" spans="1:11" x14ac:dyDescent="0.25">
      <c r="A614" t="s">
        <v>613</v>
      </c>
      <c r="B614" s="1">
        <v>45932</v>
      </c>
      <c r="C614">
        <v>2025</v>
      </c>
      <c r="D614" t="s">
        <v>1224</v>
      </c>
      <c r="E614" t="s">
        <v>1205</v>
      </c>
      <c r="F614" t="s">
        <v>1037</v>
      </c>
      <c r="G614" t="s">
        <v>1199</v>
      </c>
      <c r="H614" s="2">
        <v>24000</v>
      </c>
      <c r="I614" t="s">
        <v>1206</v>
      </c>
      <c r="J614" t="s">
        <v>1030</v>
      </c>
      <c r="K614" t="s">
        <v>1031</v>
      </c>
    </row>
    <row r="615" spans="1:11" x14ac:dyDescent="0.25">
      <c r="A615" t="s">
        <v>614</v>
      </c>
      <c r="B615" s="1">
        <v>45933</v>
      </c>
      <c r="C615">
        <v>2025</v>
      </c>
      <c r="D615" t="s">
        <v>1224</v>
      </c>
      <c r="E615" t="s">
        <v>1205</v>
      </c>
      <c r="F615" t="s">
        <v>1018</v>
      </c>
      <c r="G615" t="s">
        <v>1013</v>
      </c>
      <c r="H615" s="2">
        <v>4000</v>
      </c>
      <c r="I615" t="s">
        <v>1206</v>
      </c>
      <c r="J615" t="s">
        <v>1030</v>
      </c>
      <c r="K615" t="s">
        <v>1031</v>
      </c>
    </row>
    <row r="616" spans="1:11" x14ac:dyDescent="0.25">
      <c r="A616" t="s">
        <v>615</v>
      </c>
      <c r="B616" s="1">
        <v>45934</v>
      </c>
      <c r="C616">
        <v>2025</v>
      </c>
      <c r="D616" t="s">
        <v>1224</v>
      </c>
      <c r="E616" t="s">
        <v>1205</v>
      </c>
      <c r="F616" t="s">
        <v>1102</v>
      </c>
      <c r="G616" t="s">
        <v>1011</v>
      </c>
      <c r="H616" s="2">
        <v>22000</v>
      </c>
      <c r="I616" t="s">
        <v>1206</v>
      </c>
      <c r="J616" t="s">
        <v>1030</v>
      </c>
      <c r="K616" t="s">
        <v>1031</v>
      </c>
    </row>
    <row r="617" spans="1:11" x14ac:dyDescent="0.25">
      <c r="A617" t="s">
        <v>616</v>
      </c>
      <c r="B617" s="1">
        <v>45936</v>
      </c>
      <c r="C617">
        <v>2025</v>
      </c>
      <c r="D617" t="s">
        <v>1224</v>
      </c>
      <c r="E617" t="s">
        <v>1205</v>
      </c>
      <c r="F617" t="s">
        <v>1040</v>
      </c>
      <c r="G617" t="s">
        <v>1199</v>
      </c>
      <c r="H617" s="2">
        <v>24000</v>
      </c>
      <c r="I617" t="s">
        <v>1206</v>
      </c>
      <c r="J617" t="s">
        <v>1030</v>
      </c>
      <c r="K617" t="s">
        <v>1031</v>
      </c>
    </row>
    <row r="618" spans="1:11" x14ac:dyDescent="0.25">
      <c r="A618" t="s">
        <v>617</v>
      </c>
      <c r="B618" s="1">
        <v>45929</v>
      </c>
      <c r="C618">
        <v>2025</v>
      </c>
      <c r="D618" t="s">
        <v>1223</v>
      </c>
      <c r="E618" t="s">
        <v>1213</v>
      </c>
      <c r="F618" t="s">
        <v>1102</v>
      </c>
      <c r="G618" t="s">
        <v>1011</v>
      </c>
      <c r="H618" s="2">
        <v>22000</v>
      </c>
      <c r="I618" t="s">
        <v>1206</v>
      </c>
      <c r="J618" t="s">
        <v>1030</v>
      </c>
      <c r="K618" t="s">
        <v>1031</v>
      </c>
    </row>
    <row r="619" spans="1:11" x14ac:dyDescent="0.25">
      <c r="A619" t="s">
        <v>618</v>
      </c>
      <c r="B619" s="1">
        <v>45936</v>
      </c>
      <c r="C619">
        <v>2025</v>
      </c>
      <c r="D619" t="s">
        <v>1224</v>
      </c>
      <c r="E619" t="s">
        <v>1205</v>
      </c>
      <c r="F619" t="s">
        <v>1033</v>
      </c>
      <c r="G619" t="s">
        <v>1014</v>
      </c>
      <c r="H619" s="2">
        <v>124330</v>
      </c>
      <c r="I619" t="s">
        <v>1211</v>
      </c>
      <c r="J619" t="s">
        <v>1030</v>
      </c>
      <c r="K619" t="s">
        <v>1031</v>
      </c>
    </row>
    <row r="620" spans="1:11" x14ac:dyDescent="0.25">
      <c r="A620" t="s">
        <v>619</v>
      </c>
      <c r="B620" s="1">
        <v>45936</v>
      </c>
      <c r="C620">
        <v>2025</v>
      </c>
      <c r="D620" t="s">
        <v>1224</v>
      </c>
      <c r="E620" t="s">
        <v>1205</v>
      </c>
      <c r="F620" t="s">
        <v>1035</v>
      </c>
      <c r="G620" t="s">
        <v>1197</v>
      </c>
      <c r="H620" s="2">
        <v>13000</v>
      </c>
      <c r="I620" t="s">
        <v>1206</v>
      </c>
      <c r="J620" t="s">
        <v>1030</v>
      </c>
      <c r="K620" t="s">
        <v>1031</v>
      </c>
    </row>
    <row r="621" spans="1:11" x14ac:dyDescent="0.25">
      <c r="A621" t="s">
        <v>620</v>
      </c>
      <c r="B621" s="1">
        <v>45937</v>
      </c>
      <c r="C621">
        <v>2025</v>
      </c>
      <c r="D621" t="s">
        <v>1224</v>
      </c>
      <c r="E621" t="s">
        <v>1205</v>
      </c>
      <c r="F621" t="s">
        <v>1102</v>
      </c>
      <c r="G621" t="s">
        <v>1011</v>
      </c>
      <c r="H621" s="2">
        <v>22000</v>
      </c>
      <c r="I621" t="s">
        <v>1206</v>
      </c>
      <c r="J621" t="s">
        <v>1030</v>
      </c>
      <c r="K621" t="s">
        <v>1031</v>
      </c>
    </row>
    <row r="622" spans="1:11" x14ac:dyDescent="0.25">
      <c r="A622" t="s">
        <v>621</v>
      </c>
      <c r="B622" s="1">
        <v>45939</v>
      </c>
      <c r="C622">
        <v>2025</v>
      </c>
      <c r="D622" t="s">
        <v>1224</v>
      </c>
      <c r="E622" t="s">
        <v>1207</v>
      </c>
      <c r="F622" t="s">
        <v>1018</v>
      </c>
      <c r="G622" t="s">
        <v>1013</v>
      </c>
      <c r="H622" s="2">
        <v>5000</v>
      </c>
      <c r="I622" t="s">
        <v>1206</v>
      </c>
      <c r="J622" t="s">
        <v>1030</v>
      </c>
      <c r="K622" t="s">
        <v>1031</v>
      </c>
    </row>
    <row r="623" spans="1:11" x14ac:dyDescent="0.25">
      <c r="A623" t="s">
        <v>622</v>
      </c>
      <c r="B623" s="1">
        <v>45940</v>
      </c>
      <c r="C623">
        <v>2025</v>
      </c>
      <c r="D623" t="s">
        <v>1224</v>
      </c>
      <c r="E623" t="s">
        <v>1207</v>
      </c>
      <c r="F623" t="s">
        <v>1124</v>
      </c>
      <c r="G623" t="s">
        <v>1010</v>
      </c>
      <c r="H623" s="2">
        <v>13000</v>
      </c>
      <c r="I623" t="s">
        <v>1212</v>
      </c>
      <c r="J623" t="s">
        <v>1030</v>
      </c>
      <c r="K623" t="s">
        <v>1031</v>
      </c>
    </row>
    <row r="624" spans="1:11" x14ac:dyDescent="0.25">
      <c r="A624" t="s">
        <v>623</v>
      </c>
      <c r="B624" s="1">
        <v>45943</v>
      </c>
      <c r="C624">
        <v>2025</v>
      </c>
      <c r="D624" t="s">
        <v>1224</v>
      </c>
      <c r="E624" t="s">
        <v>1207</v>
      </c>
      <c r="F624" t="s">
        <v>1035</v>
      </c>
      <c r="G624" t="s">
        <v>1197</v>
      </c>
      <c r="H624" s="2">
        <v>76800</v>
      </c>
      <c r="I624" t="s">
        <v>1206</v>
      </c>
      <c r="J624" t="s">
        <v>1030</v>
      </c>
      <c r="K624" t="s">
        <v>1031</v>
      </c>
    </row>
    <row r="625" spans="1:11" x14ac:dyDescent="0.25">
      <c r="A625" t="s">
        <v>624</v>
      </c>
      <c r="B625" s="1">
        <v>45947</v>
      </c>
      <c r="C625">
        <v>2025</v>
      </c>
      <c r="D625" t="s">
        <v>1224</v>
      </c>
      <c r="E625" t="s">
        <v>1208</v>
      </c>
      <c r="F625" t="s">
        <v>1018</v>
      </c>
      <c r="G625" t="s">
        <v>1013</v>
      </c>
      <c r="H625" s="2">
        <v>15000</v>
      </c>
      <c r="I625" t="s">
        <v>1206</v>
      </c>
      <c r="J625" t="s">
        <v>1030</v>
      </c>
      <c r="K625" t="s">
        <v>1031</v>
      </c>
    </row>
    <row r="626" spans="1:11" x14ac:dyDescent="0.25">
      <c r="A626" t="s">
        <v>625</v>
      </c>
      <c r="B626" s="1">
        <v>45950</v>
      </c>
      <c r="C626">
        <v>2025</v>
      </c>
      <c r="D626" t="s">
        <v>1224</v>
      </c>
      <c r="E626" t="s">
        <v>1208</v>
      </c>
      <c r="F626" t="s">
        <v>1046</v>
      </c>
      <c r="G626" t="s">
        <v>1014</v>
      </c>
      <c r="H626" s="2">
        <v>6000</v>
      </c>
      <c r="I626" t="s">
        <v>1212</v>
      </c>
      <c r="J626" t="s">
        <v>1030</v>
      </c>
      <c r="K626" t="s">
        <v>1031</v>
      </c>
    </row>
    <row r="627" spans="1:11" x14ac:dyDescent="0.25">
      <c r="A627" t="s">
        <v>626</v>
      </c>
      <c r="B627" s="1">
        <v>45951</v>
      </c>
      <c r="C627">
        <v>2025</v>
      </c>
      <c r="D627" t="s">
        <v>1224</v>
      </c>
      <c r="E627" t="s">
        <v>1208</v>
      </c>
      <c r="F627" t="s">
        <v>1041</v>
      </c>
      <c r="G627" t="s">
        <v>1010</v>
      </c>
      <c r="H627" s="2">
        <v>2000</v>
      </c>
      <c r="I627" t="s">
        <v>1212</v>
      </c>
      <c r="J627" t="s">
        <v>1030</v>
      </c>
      <c r="K627" t="s">
        <v>1031</v>
      </c>
    </row>
    <row r="628" spans="1:11" x14ac:dyDescent="0.25">
      <c r="A628" t="s">
        <v>627</v>
      </c>
      <c r="B628" s="1">
        <v>45952</v>
      </c>
      <c r="C628">
        <v>2025</v>
      </c>
      <c r="D628" t="s">
        <v>1224</v>
      </c>
      <c r="E628" t="s">
        <v>1210</v>
      </c>
      <c r="F628" t="s">
        <v>1184</v>
      </c>
      <c r="G628" t="s">
        <v>1010</v>
      </c>
      <c r="H628" s="2">
        <v>8000</v>
      </c>
      <c r="I628" t="s">
        <v>1206</v>
      </c>
      <c r="J628" t="s">
        <v>1030</v>
      </c>
      <c r="K628" t="s">
        <v>1031</v>
      </c>
    </row>
    <row r="629" spans="1:11" x14ac:dyDescent="0.25">
      <c r="A629" t="s">
        <v>628</v>
      </c>
      <c r="B629" s="1">
        <v>45957</v>
      </c>
      <c r="C629">
        <v>2025</v>
      </c>
      <c r="D629" t="s">
        <v>1224</v>
      </c>
      <c r="E629" t="s">
        <v>1210</v>
      </c>
      <c r="F629" t="s">
        <v>1094</v>
      </c>
      <c r="G629" t="s">
        <v>1198</v>
      </c>
      <c r="H629" s="2">
        <v>7500</v>
      </c>
      <c r="I629" t="s">
        <v>1206</v>
      </c>
      <c r="J629" t="s">
        <v>1030</v>
      </c>
      <c r="K629" t="s">
        <v>1031</v>
      </c>
    </row>
    <row r="630" spans="1:11" x14ac:dyDescent="0.25">
      <c r="A630" t="s">
        <v>629</v>
      </c>
      <c r="B630" s="1">
        <v>45957</v>
      </c>
      <c r="C630">
        <v>2025</v>
      </c>
      <c r="D630" t="s">
        <v>1224</v>
      </c>
      <c r="E630" t="s">
        <v>1210</v>
      </c>
      <c r="F630" t="s">
        <v>1035</v>
      </c>
      <c r="G630" t="s">
        <v>1197</v>
      </c>
      <c r="H630" s="2">
        <v>13000</v>
      </c>
      <c r="I630" t="s">
        <v>1206</v>
      </c>
      <c r="J630" t="s">
        <v>1030</v>
      </c>
      <c r="K630" t="s">
        <v>1031</v>
      </c>
    </row>
    <row r="631" spans="1:11" x14ac:dyDescent="0.25">
      <c r="A631" t="s">
        <v>630</v>
      </c>
      <c r="B631" s="1">
        <v>45958</v>
      </c>
      <c r="C631">
        <v>2025</v>
      </c>
      <c r="D631" t="s">
        <v>1224</v>
      </c>
      <c r="E631" t="s">
        <v>1210</v>
      </c>
      <c r="F631" t="s">
        <v>1169</v>
      </c>
      <c r="G631" t="s">
        <v>1012</v>
      </c>
      <c r="H631" s="2">
        <v>53450</v>
      </c>
      <c r="I631" t="s">
        <v>1206</v>
      </c>
      <c r="J631" t="s">
        <v>1030</v>
      </c>
      <c r="K631" t="s">
        <v>1031</v>
      </c>
    </row>
    <row r="632" spans="1:11" x14ac:dyDescent="0.25">
      <c r="A632" t="s">
        <v>631</v>
      </c>
      <c r="B632" s="1">
        <v>45958</v>
      </c>
      <c r="C632">
        <v>2025</v>
      </c>
      <c r="D632" t="s">
        <v>1224</v>
      </c>
      <c r="E632" t="s">
        <v>1210</v>
      </c>
      <c r="F632" t="s">
        <v>1049</v>
      </c>
      <c r="G632" t="s">
        <v>1199</v>
      </c>
      <c r="H632" s="2">
        <v>20000</v>
      </c>
      <c r="I632" t="s">
        <v>1206</v>
      </c>
      <c r="J632" t="s">
        <v>1030</v>
      </c>
      <c r="K632" t="s">
        <v>1031</v>
      </c>
    </row>
    <row r="633" spans="1:11" x14ac:dyDescent="0.25">
      <c r="A633" t="s">
        <v>632</v>
      </c>
      <c r="B633" s="1">
        <v>45952</v>
      </c>
      <c r="C633">
        <v>2025</v>
      </c>
      <c r="D633" t="s">
        <v>1224</v>
      </c>
      <c r="E633" t="s">
        <v>1210</v>
      </c>
      <c r="F633" t="s">
        <v>1018</v>
      </c>
      <c r="G633" t="s">
        <v>1013</v>
      </c>
      <c r="H633" s="2">
        <v>4000</v>
      </c>
      <c r="I633" t="s">
        <v>1206</v>
      </c>
      <c r="J633" t="s">
        <v>1030</v>
      </c>
      <c r="K633" t="s">
        <v>1031</v>
      </c>
    </row>
    <row r="634" spans="1:11" x14ac:dyDescent="0.25">
      <c r="A634" t="s">
        <v>633</v>
      </c>
      <c r="B634" s="1">
        <v>45962</v>
      </c>
      <c r="C634">
        <v>2025</v>
      </c>
      <c r="D634" t="s">
        <v>1227</v>
      </c>
      <c r="E634" t="s">
        <v>1205</v>
      </c>
      <c r="F634" t="s">
        <v>1018</v>
      </c>
      <c r="G634" t="s">
        <v>1013</v>
      </c>
      <c r="H634" s="2">
        <v>4000</v>
      </c>
      <c r="I634" t="s">
        <v>1206</v>
      </c>
      <c r="J634" t="s">
        <v>1030</v>
      </c>
      <c r="K634" t="s">
        <v>1031</v>
      </c>
    </row>
    <row r="635" spans="1:11" x14ac:dyDescent="0.25">
      <c r="A635" t="s">
        <v>634</v>
      </c>
      <c r="B635" s="1">
        <v>45964</v>
      </c>
      <c r="C635">
        <v>2025</v>
      </c>
      <c r="D635" t="s">
        <v>1227</v>
      </c>
      <c r="E635" t="s">
        <v>1205</v>
      </c>
      <c r="F635" t="s">
        <v>1035</v>
      </c>
      <c r="G635" t="s">
        <v>1197</v>
      </c>
      <c r="H635" s="2">
        <v>13000</v>
      </c>
      <c r="I635" t="s">
        <v>1206</v>
      </c>
      <c r="J635" t="s">
        <v>1030</v>
      </c>
      <c r="K635" t="s">
        <v>1031</v>
      </c>
    </row>
    <row r="636" spans="1:11" x14ac:dyDescent="0.25">
      <c r="A636" t="s">
        <v>635</v>
      </c>
      <c r="B636" s="1">
        <v>45964</v>
      </c>
      <c r="C636">
        <v>2025</v>
      </c>
      <c r="D636" t="s">
        <v>1227</v>
      </c>
      <c r="E636" t="s">
        <v>1205</v>
      </c>
      <c r="F636" t="s">
        <v>1037</v>
      </c>
      <c r="G636" t="s">
        <v>1199</v>
      </c>
      <c r="H636" s="2">
        <v>24000</v>
      </c>
      <c r="I636" t="s">
        <v>1206</v>
      </c>
      <c r="J636" t="s">
        <v>1030</v>
      </c>
      <c r="K636" t="s">
        <v>1031</v>
      </c>
    </row>
    <row r="637" spans="1:11" x14ac:dyDescent="0.25">
      <c r="A637" t="s">
        <v>636</v>
      </c>
      <c r="B637" s="1">
        <v>45964</v>
      </c>
      <c r="C637">
        <v>2025</v>
      </c>
      <c r="D637" t="s">
        <v>1227</v>
      </c>
      <c r="E637" t="s">
        <v>1205</v>
      </c>
      <c r="F637" t="s">
        <v>1040</v>
      </c>
      <c r="G637" t="s">
        <v>1199</v>
      </c>
      <c r="H637" s="2">
        <v>24000</v>
      </c>
      <c r="I637" t="s">
        <v>1206</v>
      </c>
      <c r="J637" t="s">
        <v>1030</v>
      </c>
      <c r="K637" t="s">
        <v>1031</v>
      </c>
    </row>
    <row r="638" spans="1:11" x14ac:dyDescent="0.25">
      <c r="A638" t="s">
        <v>637</v>
      </c>
      <c r="B638" s="1">
        <v>45965</v>
      </c>
      <c r="C638">
        <v>2025</v>
      </c>
      <c r="D638" t="s">
        <v>1227</v>
      </c>
      <c r="E638" t="s">
        <v>1205</v>
      </c>
      <c r="F638" t="s">
        <v>1185</v>
      </c>
      <c r="G638" t="s">
        <v>1198</v>
      </c>
      <c r="H638" s="2">
        <v>3500</v>
      </c>
      <c r="I638" t="s">
        <v>1212</v>
      </c>
      <c r="J638" t="s">
        <v>1030</v>
      </c>
      <c r="K638" t="s">
        <v>1031</v>
      </c>
    </row>
    <row r="639" spans="1:11" x14ac:dyDescent="0.25">
      <c r="A639" t="s">
        <v>638</v>
      </c>
      <c r="B639" s="1">
        <v>45966</v>
      </c>
      <c r="C639">
        <v>2025</v>
      </c>
      <c r="D639" t="s">
        <v>1227</v>
      </c>
      <c r="E639" t="s">
        <v>1205</v>
      </c>
      <c r="F639" t="s">
        <v>1025</v>
      </c>
      <c r="G639" t="s">
        <v>1014</v>
      </c>
      <c r="H639" s="2">
        <v>5000</v>
      </c>
      <c r="I639" t="s">
        <v>1206</v>
      </c>
      <c r="J639" t="s">
        <v>1030</v>
      </c>
      <c r="K639" t="s">
        <v>1031</v>
      </c>
    </row>
    <row r="640" spans="1:11" x14ac:dyDescent="0.25">
      <c r="A640" t="s">
        <v>639</v>
      </c>
      <c r="B640" s="1">
        <v>45971</v>
      </c>
      <c r="C640">
        <v>2025</v>
      </c>
      <c r="D640" t="s">
        <v>1227</v>
      </c>
      <c r="E640" t="s">
        <v>1207</v>
      </c>
      <c r="F640" t="s">
        <v>1035</v>
      </c>
      <c r="G640" t="s">
        <v>1197</v>
      </c>
      <c r="H640" s="2">
        <v>13000</v>
      </c>
      <c r="I640" t="s">
        <v>1206</v>
      </c>
      <c r="J640" t="s">
        <v>1030</v>
      </c>
      <c r="K640" t="s">
        <v>1031</v>
      </c>
    </row>
    <row r="641" spans="1:11" x14ac:dyDescent="0.25">
      <c r="A641" t="s">
        <v>640</v>
      </c>
      <c r="B641" s="1">
        <v>45972</v>
      </c>
      <c r="C641">
        <v>2025</v>
      </c>
      <c r="D641" t="s">
        <v>1227</v>
      </c>
      <c r="E641" t="s">
        <v>1207</v>
      </c>
      <c r="F641" t="s">
        <v>1046</v>
      </c>
      <c r="G641" t="s">
        <v>1014</v>
      </c>
      <c r="H641" s="2">
        <v>6000</v>
      </c>
      <c r="I641" t="s">
        <v>1206</v>
      </c>
      <c r="J641" t="s">
        <v>1030</v>
      </c>
      <c r="K641" t="s">
        <v>1031</v>
      </c>
    </row>
    <row r="642" spans="1:11" x14ac:dyDescent="0.25">
      <c r="A642" t="s">
        <v>641</v>
      </c>
      <c r="B642" s="1">
        <v>45973</v>
      </c>
      <c r="C642">
        <v>2025</v>
      </c>
      <c r="D642" t="s">
        <v>1227</v>
      </c>
      <c r="E642" t="s">
        <v>1207</v>
      </c>
      <c r="F642" t="s">
        <v>1035</v>
      </c>
      <c r="G642" t="s">
        <v>1197</v>
      </c>
      <c r="H642" s="2">
        <v>57600</v>
      </c>
      <c r="I642" t="s">
        <v>1206</v>
      </c>
      <c r="J642" t="s">
        <v>1030</v>
      </c>
      <c r="K642" t="s">
        <v>1031</v>
      </c>
    </row>
    <row r="643" spans="1:11" x14ac:dyDescent="0.25">
      <c r="A643" t="s">
        <v>642</v>
      </c>
      <c r="B643" s="1">
        <v>45979</v>
      </c>
      <c r="C643">
        <v>2025</v>
      </c>
      <c r="D643" t="s">
        <v>1227</v>
      </c>
      <c r="E643" t="s">
        <v>1208</v>
      </c>
      <c r="F643" t="s">
        <v>1186</v>
      </c>
      <c r="G643" t="s">
        <v>1198</v>
      </c>
      <c r="H643" s="2">
        <v>7000</v>
      </c>
      <c r="I643" t="s">
        <v>1212</v>
      </c>
      <c r="J643" t="s">
        <v>1030</v>
      </c>
      <c r="K643" t="s">
        <v>1031</v>
      </c>
    </row>
    <row r="644" spans="1:11" x14ac:dyDescent="0.25">
      <c r="A644" t="s">
        <v>643</v>
      </c>
      <c r="B644" s="1">
        <v>45975</v>
      </c>
      <c r="C644">
        <v>2025</v>
      </c>
      <c r="D644" t="s">
        <v>1227</v>
      </c>
      <c r="E644" t="s">
        <v>1207</v>
      </c>
      <c r="F644" t="s">
        <v>1025</v>
      </c>
      <c r="G644" t="s">
        <v>1014</v>
      </c>
      <c r="H644" s="2">
        <v>10000</v>
      </c>
      <c r="I644" t="s">
        <v>1206</v>
      </c>
      <c r="J644" t="s">
        <v>1030</v>
      </c>
      <c r="K644" t="s">
        <v>1031</v>
      </c>
    </row>
    <row r="645" spans="1:11" x14ac:dyDescent="0.25">
      <c r="A645" t="s">
        <v>644</v>
      </c>
      <c r="B645" s="1">
        <v>45978</v>
      </c>
      <c r="C645">
        <v>2025</v>
      </c>
      <c r="D645" t="s">
        <v>1227</v>
      </c>
      <c r="E645" t="s">
        <v>1208</v>
      </c>
      <c r="F645" t="s">
        <v>1018</v>
      </c>
      <c r="G645" t="s">
        <v>1013</v>
      </c>
      <c r="H645" s="2">
        <v>15000</v>
      </c>
      <c r="I645" t="s">
        <v>1206</v>
      </c>
      <c r="J645" t="s">
        <v>1030</v>
      </c>
      <c r="K645" t="s">
        <v>1031</v>
      </c>
    </row>
    <row r="646" spans="1:11" x14ac:dyDescent="0.25">
      <c r="A646" t="s">
        <v>645</v>
      </c>
      <c r="B646" s="1">
        <v>45979</v>
      </c>
      <c r="C646">
        <v>2025</v>
      </c>
      <c r="D646" t="s">
        <v>1227</v>
      </c>
      <c r="E646" t="s">
        <v>1208</v>
      </c>
      <c r="F646" t="s">
        <v>1018</v>
      </c>
      <c r="G646" t="s">
        <v>1013</v>
      </c>
      <c r="H646" s="2">
        <v>10000</v>
      </c>
      <c r="I646" t="s">
        <v>1206</v>
      </c>
      <c r="J646" t="s">
        <v>1030</v>
      </c>
      <c r="K646" t="s">
        <v>1031</v>
      </c>
    </row>
    <row r="647" spans="1:11" x14ac:dyDescent="0.25">
      <c r="A647" t="s">
        <v>646</v>
      </c>
      <c r="B647" s="1">
        <v>45980</v>
      </c>
      <c r="C647">
        <v>2025</v>
      </c>
      <c r="D647" t="s">
        <v>1227</v>
      </c>
      <c r="E647" t="s">
        <v>1208</v>
      </c>
      <c r="F647" t="s">
        <v>1187</v>
      </c>
      <c r="G647" t="s">
        <v>1010</v>
      </c>
      <c r="H647" s="2">
        <v>10000</v>
      </c>
      <c r="I647" t="s">
        <v>1212</v>
      </c>
      <c r="J647" t="s">
        <v>1030</v>
      </c>
      <c r="K647" t="s">
        <v>1031</v>
      </c>
    </row>
    <row r="648" spans="1:11" x14ac:dyDescent="0.25">
      <c r="A648" t="s">
        <v>647</v>
      </c>
      <c r="B648" s="1">
        <v>45985</v>
      </c>
      <c r="C648">
        <v>2025</v>
      </c>
      <c r="D648" t="s">
        <v>1227</v>
      </c>
      <c r="E648" t="s">
        <v>1210</v>
      </c>
      <c r="F648" t="s">
        <v>1035</v>
      </c>
      <c r="G648" t="s">
        <v>1197</v>
      </c>
      <c r="H648" s="2">
        <v>13000</v>
      </c>
      <c r="I648" t="s">
        <v>1206</v>
      </c>
      <c r="J648" t="s">
        <v>1030</v>
      </c>
      <c r="K648" t="s">
        <v>1031</v>
      </c>
    </row>
    <row r="649" spans="1:11" x14ac:dyDescent="0.25">
      <c r="A649" t="s">
        <v>648</v>
      </c>
      <c r="B649" s="1">
        <v>45985</v>
      </c>
      <c r="C649">
        <v>2025</v>
      </c>
      <c r="D649" t="s">
        <v>1227</v>
      </c>
      <c r="E649" t="s">
        <v>1210</v>
      </c>
      <c r="F649" t="s">
        <v>1046</v>
      </c>
      <c r="G649" t="s">
        <v>1014</v>
      </c>
      <c r="H649" s="2">
        <v>6000</v>
      </c>
      <c r="I649" t="s">
        <v>1206</v>
      </c>
      <c r="J649" t="s">
        <v>1030</v>
      </c>
      <c r="K649" t="s">
        <v>1031</v>
      </c>
    </row>
    <row r="650" spans="1:11" x14ac:dyDescent="0.25">
      <c r="A650" t="s">
        <v>649</v>
      </c>
      <c r="B650" s="1">
        <v>45986</v>
      </c>
      <c r="C650">
        <v>2025</v>
      </c>
      <c r="D650" t="s">
        <v>1227</v>
      </c>
      <c r="E650" t="s">
        <v>1210</v>
      </c>
      <c r="F650" t="s">
        <v>1188</v>
      </c>
      <c r="G650" t="s">
        <v>1198</v>
      </c>
      <c r="H650" s="2">
        <v>5000</v>
      </c>
      <c r="I650" t="s">
        <v>1212</v>
      </c>
      <c r="J650" t="s">
        <v>1030</v>
      </c>
      <c r="K650" t="s">
        <v>1031</v>
      </c>
    </row>
    <row r="651" spans="1:11" x14ac:dyDescent="0.25">
      <c r="A651" t="s">
        <v>650</v>
      </c>
      <c r="B651" s="1">
        <v>45987</v>
      </c>
      <c r="C651">
        <v>2025</v>
      </c>
      <c r="D651" t="s">
        <v>1227</v>
      </c>
      <c r="E651" t="s">
        <v>1210</v>
      </c>
      <c r="F651" t="s">
        <v>1102</v>
      </c>
      <c r="G651" t="s">
        <v>1011</v>
      </c>
      <c r="H651" s="2">
        <v>22000</v>
      </c>
      <c r="I651" t="s">
        <v>1206</v>
      </c>
      <c r="J651" t="s">
        <v>1030</v>
      </c>
      <c r="K651" t="s">
        <v>1031</v>
      </c>
    </row>
    <row r="652" spans="1:11" x14ac:dyDescent="0.25">
      <c r="A652" t="s">
        <v>651</v>
      </c>
      <c r="B652" s="1">
        <v>45988</v>
      </c>
      <c r="C652">
        <v>2025</v>
      </c>
      <c r="D652" t="s">
        <v>1227</v>
      </c>
      <c r="E652" t="s">
        <v>1210</v>
      </c>
      <c r="F652" t="s">
        <v>1025</v>
      </c>
      <c r="G652" t="s">
        <v>1014</v>
      </c>
      <c r="H652" s="2">
        <v>5000</v>
      </c>
      <c r="I652" t="s">
        <v>1206</v>
      </c>
      <c r="J652" t="s">
        <v>1030</v>
      </c>
      <c r="K652" t="s">
        <v>1031</v>
      </c>
    </row>
    <row r="653" spans="1:11" x14ac:dyDescent="0.25">
      <c r="A653" t="s">
        <v>652</v>
      </c>
      <c r="B653" s="1">
        <v>45988</v>
      </c>
      <c r="C653">
        <v>2025</v>
      </c>
      <c r="D653" t="s">
        <v>1227</v>
      </c>
      <c r="E653" t="s">
        <v>1210</v>
      </c>
      <c r="F653" t="s">
        <v>1234</v>
      </c>
      <c r="G653" t="s">
        <v>1011</v>
      </c>
      <c r="H653" s="2">
        <v>25000</v>
      </c>
      <c r="I653" t="s">
        <v>1206</v>
      </c>
      <c r="J653" t="s">
        <v>1030</v>
      </c>
      <c r="K653" t="s">
        <v>1031</v>
      </c>
    </row>
    <row r="654" spans="1:11" x14ac:dyDescent="0.25">
      <c r="A654" t="s">
        <v>653</v>
      </c>
      <c r="B654" s="1">
        <v>45988</v>
      </c>
      <c r="C654">
        <v>2025</v>
      </c>
      <c r="D654" t="s">
        <v>1227</v>
      </c>
      <c r="E654" t="s">
        <v>1210</v>
      </c>
      <c r="F654" t="s">
        <v>1190</v>
      </c>
      <c r="G654" t="s">
        <v>1014</v>
      </c>
      <c r="H654" s="2">
        <v>35000</v>
      </c>
      <c r="I654" t="s">
        <v>1211</v>
      </c>
      <c r="J654" t="s">
        <v>1030</v>
      </c>
      <c r="K654" t="s">
        <v>1031</v>
      </c>
    </row>
    <row r="655" spans="1:11" x14ac:dyDescent="0.25">
      <c r="A655" t="s">
        <v>654</v>
      </c>
      <c r="B655" s="1">
        <v>45989</v>
      </c>
      <c r="C655">
        <v>2025</v>
      </c>
      <c r="D655" t="s">
        <v>1227</v>
      </c>
      <c r="E655" t="s">
        <v>1210</v>
      </c>
      <c r="F655" t="s">
        <v>1191</v>
      </c>
      <c r="G655" t="s">
        <v>1198</v>
      </c>
      <c r="H655" s="2">
        <v>50000</v>
      </c>
      <c r="I655" t="s">
        <v>1211</v>
      </c>
      <c r="J655" t="s">
        <v>1030</v>
      </c>
      <c r="K655" t="s">
        <v>1031</v>
      </c>
    </row>
    <row r="656" spans="1:11" x14ac:dyDescent="0.25">
      <c r="A656" t="s">
        <v>655</v>
      </c>
      <c r="B656" s="1">
        <v>45989</v>
      </c>
      <c r="C656">
        <v>2025</v>
      </c>
      <c r="D656" t="s">
        <v>1227</v>
      </c>
      <c r="E656" t="s">
        <v>1210</v>
      </c>
      <c r="F656" t="s">
        <v>1192</v>
      </c>
      <c r="G656" t="s">
        <v>1015</v>
      </c>
      <c r="H656" s="2">
        <v>15000</v>
      </c>
      <c r="I656" t="s">
        <v>1206</v>
      </c>
      <c r="J656" t="s">
        <v>1030</v>
      </c>
      <c r="K656" t="s">
        <v>1031</v>
      </c>
    </row>
    <row r="657" spans="1:11" x14ac:dyDescent="0.25">
      <c r="A657" t="s">
        <v>656</v>
      </c>
      <c r="B657" s="1">
        <v>45990</v>
      </c>
      <c r="C657">
        <v>2025</v>
      </c>
      <c r="D657" t="s">
        <v>1227</v>
      </c>
      <c r="E657" t="s">
        <v>1213</v>
      </c>
      <c r="F657" t="s">
        <v>1049</v>
      </c>
      <c r="G657" t="s">
        <v>1199</v>
      </c>
      <c r="H657" s="2">
        <v>20000</v>
      </c>
      <c r="I657" t="s">
        <v>1206</v>
      </c>
      <c r="J657" t="s">
        <v>1030</v>
      </c>
      <c r="K657" t="s">
        <v>1031</v>
      </c>
    </row>
    <row r="658" spans="1:11" x14ac:dyDescent="0.25">
      <c r="A658" t="s">
        <v>657</v>
      </c>
      <c r="B658" s="1">
        <v>45991</v>
      </c>
      <c r="C658">
        <v>2025</v>
      </c>
      <c r="D658" t="s">
        <v>1227</v>
      </c>
      <c r="E658" t="s">
        <v>1213</v>
      </c>
      <c r="F658" t="s">
        <v>1018</v>
      </c>
      <c r="G658" t="s">
        <v>1013</v>
      </c>
      <c r="H658" s="2">
        <v>5000</v>
      </c>
      <c r="I658" t="s">
        <v>1206</v>
      </c>
      <c r="J658" t="s">
        <v>1030</v>
      </c>
      <c r="K658" t="s">
        <v>1031</v>
      </c>
    </row>
    <row r="659" spans="1:11" x14ac:dyDescent="0.25">
      <c r="A659" t="s">
        <v>658</v>
      </c>
      <c r="B659" s="1">
        <v>45989</v>
      </c>
      <c r="C659">
        <v>2025</v>
      </c>
      <c r="D659" t="s">
        <v>1227</v>
      </c>
      <c r="E659" t="s">
        <v>1210</v>
      </c>
      <c r="F659" t="s">
        <v>1102</v>
      </c>
      <c r="G659" t="s">
        <v>1011</v>
      </c>
      <c r="H659" s="2">
        <v>22000</v>
      </c>
      <c r="I659" t="s">
        <v>1206</v>
      </c>
      <c r="J659" t="s">
        <v>1030</v>
      </c>
      <c r="K659" t="s">
        <v>1031</v>
      </c>
    </row>
    <row r="660" spans="1:11" x14ac:dyDescent="0.25">
      <c r="A660" t="s">
        <v>659</v>
      </c>
      <c r="B660" s="1">
        <v>45992</v>
      </c>
      <c r="C660">
        <v>2025</v>
      </c>
      <c r="D660" t="s">
        <v>1228</v>
      </c>
      <c r="E660" t="s">
        <v>1205</v>
      </c>
      <c r="F660" t="s">
        <v>1234</v>
      </c>
      <c r="G660" t="s">
        <v>1011</v>
      </c>
      <c r="H660" s="2">
        <v>25000</v>
      </c>
      <c r="I660" t="s">
        <v>1206</v>
      </c>
      <c r="J660" t="s">
        <v>1030</v>
      </c>
      <c r="K660" t="s">
        <v>1031</v>
      </c>
    </row>
    <row r="661" spans="1:11" x14ac:dyDescent="0.25">
      <c r="A661" t="s">
        <v>660</v>
      </c>
      <c r="B661" s="1">
        <v>45992</v>
      </c>
      <c r="C661">
        <v>2025</v>
      </c>
      <c r="D661" t="s">
        <v>1228</v>
      </c>
      <c r="E661" t="s">
        <v>1205</v>
      </c>
      <c r="F661" t="s">
        <v>1035</v>
      </c>
      <c r="G661" t="s">
        <v>1197</v>
      </c>
      <c r="H661" s="2">
        <v>13000</v>
      </c>
      <c r="I661" t="s">
        <v>1206</v>
      </c>
      <c r="J661" t="s">
        <v>1030</v>
      </c>
      <c r="K661" t="s">
        <v>1031</v>
      </c>
    </row>
    <row r="662" spans="1:11" x14ac:dyDescent="0.25">
      <c r="A662" t="s">
        <v>661</v>
      </c>
      <c r="B662" s="1">
        <v>45992</v>
      </c>
      <c r="C662">
        <v>2025</v>
      </c>
      <c r="D662" t="s">
        <v>1228</v>
      </c>
      <c r="E662" t="s">
        <v>1205</v>
      </c>
      <c r="F662" t="s">
        <v>1037</v>
      </c>
      <c r="G662" t="s">
        <v>1199</v>
      </c>
      <c r="H662" s="2">
        <v>24000</v>
      </c>
      <c r="I662" t="s">
        <v>1206</v>
      </c>
      <c r="J662" t="s">
        <v>1030</v>
      </c>
      <c r="K662" t="s">
        <v>1031</v>
      </c>
    </row>
    <row r="663" spans="1:11" x14ac:dyDescent="0.25">
      <c r="A663" t="s">
        <v>662</v>
      </c>
      <c r="B663" s="1">
        <v>45992</v>
      </c>
      <c r="C663">
        <v>2025</v>
      </c>
      <c r="D663" t="s">
        <v>1228</v>
      </c>
      <c r="E663" t="s">
        <v>1205</v>
      </c>
      <c r="F663" t="s">
        <v>1102</v>
      </c>
      <c r="G663" t="s">
        <v>1011</v>
      </c>
      <c r="H663" s="2">
        <v>22000</v>
      </c>
      <c r="I663" t="s">
        <v>1206</v>
      </c>
      <c r="J663" t="s">
        <v>1030</v>
      </c>
      <c r="K663" t="s">
        <v>1031</v>
      </c>
    </row>
    <row r="664" spans="1:11" x14ac:dyDescent="0.25">
      <c r="A664" t="s">
        <v>663</v>
      </c>
      <c r="B664" s="1">
        <v>45993</v>
      </c>
      <c r="C664">
        <v>2025</v>
      </c>
      <c r="D664" t="s">
        <v>1228</v>
      </c>
      <c r="E664" t="s">
        <v>1205</v>
      </c>
      <c r="F664" t="s">
        <v>1040</v>
      </c>
      <c r="G664" t="s">
        <v>1199</v>
      </c>
      <c r="H664" s="2">
        <v>24000</v>
      </c>
      <c r="I664" t="s">
        <v>1206</v>
      </c>
      <c r="J664" t="s">
        <v>1030</v>
      </c>
      <c r="K664" t="s">
        <v>1031</v>
      </c>
    </row>
    <row r="665" spans="1:11" x14ac:dyDescent="0.25">
      <c r="A665" t="s">
        <v>664</v>
      </c>
      <c r="B665" s="1">
        <v>45994</v>
      </c>
      <c r="C665">
        <v>2025</v>
      </c>
      <c r="D665" t="s">
        <v>1228</v>
      </c>
      <c r="E665" t="s">
        <v>1205</v>
      </c>
      <c r="F665" t="s">
        <v>1193</v>
      </c>
      <c r="G665" t="s">
        <v>1014</v>
      </c>
      <c r="H665" s="2">
        <v>120200</v>
      </c>
      <c r="I665" t="s">
        <v>1206</v>
      </c>
      <c r="J665" t="s">
        <v>1030</v>
      </c>
      <c r="K665" t="s">
        <v>1031</v>
      </c>
    </row>
    <row r="666" spans="1:11" x14ac:dyDescent="0.25">
      <c r="A666" t="s">
        <v>665</v>
      </c>
      <c r="B666" s="1">
        <v>45995</v>
      </c>
      <c r="C666">
        <v>2025</v>
      </c>
      <c r="D666" t="s">
        <v>1228</v>
      </c>
      <c r="E666" t="s">
        <v>1205</v>
      </c>
      <c r="F666" t="s">
        <v>1194</v>
      </c>
      <c r="G666" t="s">
        <v>1012</v>
      </c>
      <c r="H666" s="2">
        <v>7000</v>
      </c>
      <c r="I666" t="s">
        <v>1206</v>
      </c>
      <c r="J666" t="s">
        <v>1030</v>
      </c>
      <c r="K666" t="s">
        <v>1031</v>
      </c>
    </row>
    <row r="667" spans="1:11" x14ac:dyDescent="0.25">
      <c r="A667" t="s">
        <v>666</v>
      </c>
      <c r="B667" s="1">
        <v>45995</v>
      </c>
      <c r="C667">
        <v>2025</v>
      </c>
      <c r="D667" t="s">
        <v>1228</v>
      </c>
      <c r="E667" t="s">
        <v>1205</v>
      </c>
      <c r="F667" t="s">
        <v>1132</v>
      </c>
      <c r="G667" t="s">
        <v>1012</v>
      </c>
      <c r="H667" s="2">
        <v>9000</v>
      </c>
      <c r="I667" t="s">
        <v>1206</v>
      </c>
      <c r="J667" t="s">
        <v>1030</v>
      </c>
      <c r="K667" t="s">
        <v>1031</v>
      </c>
    </row>
    <row r="668" spans="1:11" x14ac:dyDescent="0.25">
      <c r="A668" t="s">
        <v>667</v>
      </c>
      <c r="B668" s="1">
        <v>45999</v>
      </c>
      <c r="C668">
        <v>2025</v>
      </c>
      <c r="D668" t="s">
        <v>1228</v>
      </c>
      <c r="E668" t="s">
        <v>1207</v>
      </c>
      <c r="F668" t="s">
        <v>1035</v>
      </c>
      <c r="G668" t="s">
        <v>1197</v>
      </c>
      <c r="H668" s="2">
        <v>13000</v>
      </c>
      <c r="I668" t="s">
        <v>1206</v>
      </c>
      <c r="J668" t="s">
        <v>1030</v>
      </c>
      <c r="K668" t="s">
        <v>1031</v>
      </c>
    </row>
    <row r="669" spans="1:11" x14ac:dyDescent="0.25">
      <c r="A669" t="s">
        <v>668</v>
      </c>
      <c r="B669" s="1">
        <v>46000</v>
      </c>
      <c r="C669">
        <v>2025</v>
      </c>
      <c r="D669" t="s">
        <v>1228</v>
      </c>
      <c r="E669" t="s">
        <v>1207</v>
      </c>
      <c r="F669" t="s">
        <v>1046</v>
      </c>
      <c r="G669" t="s">
        <v>1014</v>
      </c>
      <c r="H669" s="2">
        <v>6000</v>
      </c>
      <c r="I669" t="s">
        <v>1206</v>
      </c>
      <c r="J669" t="s">
        <v>1030</v>
      </c>
      <c r="K669" t="s">
        <v>1031</v>
      </c>
    </row>
    <row r="670" spans="1:11" x14ac:dyDescent="0.25">
      <c r="A670" t="s">
        <v>669</v>
      </c>
      <c r="B670" s="1">
        <v>46000</v>
      </c>
      <c r="C670">
        <v>2025</v>
      </c>
      <c r="D670" t="s">
        <v>1228</v>
      </c>
      <c r="E670" t="s">
        <v>1207</v>
      </c>
      <c r="F670" t="s">
        <v>1018</v>
      </c>
      <c r="G670" t="s">
        <v>1013</v>
      </c>
      <c r="H670" s="2">
        <v>5000</v>
      </c>
      <c r="I670" t="s">
        <v>1206</v>
      </c>
      <c r="J670" t="s">
        <v>1030</v>
      </c>
      <c r="K670" t="s">
        <v>1031</v>
      </c>
    </row>
    <row r="671" spans="1:11" x14ac:dyDescent="0.25">
      <c r="A671" t="s">
        <v>670</v>
      </c>
      <c r="B671" s="1">
        <v>46001</v>
      </c>
      <c r="C671">
        <v>2025</v>
      </c>
      <c r="D671" t="s">
        <v>1228</v>
      </c>
      <c r="E671" t="s">
        <v>1207</v>
      </c>
      <c r="F671" t="s">
        <v>1195</v>
      </c>
      <c r="G671" t="s">
        <v>1010</v>
      </c>
      <c r="H671" s="2">
        <v>15000</v>
      </c>
      <c r="I671" t="s">
        <v>1206</v>
      </c>
      <c r="J671" t="s">
        <v>1030</v>
      </c>
      <c r="K671" t="s">
        <v>1031</v>
      </c>
    </row>
    <row r="672" spans="1:11" x14ac:dyDescent="0.25">
      <c r="A672" t="s">
        <v>671</v>
      </c>
      <c r="B672" s="1">
        <v>46006</v>
      </c>
      <c r="C672">
        <v>2025</v>
      </c>
      <c r="D672" t="s">
        <v>1228</v>
      </c>
      <c r="E672" t="s">
        <v>1208</v>
      </c>
      <c r="F672" t="s">
        <v>1035</v>
      </c>
      <c r="G672" t="s">
        <v>1197</v>
      </c>
      <c r="H672" s="2">
        <v>13000</v>
      </c>
      <c r="I672" t="s">
        <v>1206</v>
      </c>
      <c r="J672" t="s">
        <v>1030</v>
      </c>
      <c r="K672" t="s">
        <v>1031</v>
      </c>
    </row>
    <row r="673" spans="1:11" x14ac:dyDescent="0.25">
      <c r="A673" t="s">
        <v>672</v>
      </c>
      <c r="B673" s="1">
        <v>46006</v>
      </c>
      <c r="C673">
        <v>2025</v>
      </c>
      <c r="D673" t="s">
        <v>1228</v>
      </c>
      <c r="E673" t="s">
        <v>1208</v>
      </c>
      <c r="F673" t="s">
        <v>1018</v>
      </c>
      <c r="G673" t="s">
        <v>1013</v>
      </c>
      <c r="H673" s="2">
        <v>4000</v>
      </c>
      <c r="I673" t="s">
        <v>1206</v>
      </c>
      <c r="J673" t="s">
        <v>1030</v>
      </c>
      <c r="K673" t="s">
        <v>1031</v>
      </c>
    </row>
    <row r="674" spans="1:11" x14ac:dyDescent="0.25">
      <c r="A674" t="s">
        <v>673</v>
      </c>
      <c r="B674" s="1">
        <v>46007</v>
      </c>
      <c r="C674">
        <v>2025</v>
      </c>
      <c r="D674" t="s">
        <v>1228</v>
      </c>
      <c r="E674" t="s">
        <v>1208</v>
      </c>
      <c r="F674" t="s">
        <v>1165</v>
      </c>
      <c r="G674" t="s">
        <v>1198</v>
      </c>
      <c r="H674" s="2">
        <v>18000</v>
      </c>
      <c r="I674" t="s">
        <v>1211</v>
      </c>
      <c r="J674" t="s">
        <v>1030</v>
      </c>
      <c r="K674" t="s">
        <v>1031</v>
      </c>
    </row>
    <row r="675" spans="1:11" x14ac:dyDescent="0.25">
      <c r="A675" t="s">
        <v>674</v>
      </c>
      <c r="B675" s="1">
        <v>46009</v>
      </c>
      <c r="C675">
        <v>2025</v>
      </c>
      <c r="D675" t="s">
        <v>1228</v>
      </c>
      <c r="E675" t="s">
        <v>1208</v>
      </c>
      <c r="F675" t="s">
        <v>1046</v>
      </c>
      <c r="G675" t="s">
        <v>1014</v>
      </c>
      <c r="H675" s="2">
        <v>4500</v>
      </c>
      <c r="I675" t="s">
        <v>1211</v>
      </c>
      <c r="J675" t="s">
        <v>1030</v>
      </c>
      <c r="K675" t="s">
        <v>1031</v>
      </c>
    </row>
    <row r="676" spans="1:11" x14ac:dyDescent="0.25">
      <c r="A676" t="s">
        <v>675</v>
      </c>
      <c r="B676" s="1">
        <v>46011</v>
      </c>
      <c r="C676">
        <v>2025</v>
      </c>
      <c r="D676" t="s">
        <v>1228</v>
      </c>
      <c r="E676" t="s">
        <v>1208</v>
      </c>
      <c r="F676" t="s">
        <v>1102</v>
      </c>
      <c r="G676" t="s">
        <v>1011</v>
      </c>
      <c r="H676" s="2">
        <v>22000</v>
      </c>
      <c r="I676" t="s">
        <v>1211</v>
      </c>
      <c r="J676" t="s">
        <v>1030</v>
      </c>
      <c r="K676" t="s">
        <v>1031</v>
      </c>
    </row>
    <row r="677" spans="1:11" x14ac:dyDescent="0.25">
      <c r="A677" t="s">
        <v>676</v>
      </c>
      <c r="B677" s="1">
        <v>46013</v>
      </c>
      <c r="C677">
        <v>2025</v>
      </c>
      <c r="D677" t="s">
        <v>1228</v>
      </c>
      <c r="E677" t="s">
        <v>1210</v>
      </c>
      <c r="F677" t="s">
        <v>1102</v>
      </c>
      <c r="G677" t="s">
        <v>1011</v>
      </c>
      <c r="H677" s="2">
        <v>22000</v>
      </c>
      <c r="I677" t="s">
        <v>1211</v>
      </c>
      <c r="J677" t="s">
        <v>1030</v>
      </c>
      <c r="K677" t="s">
        <v>1031</v>
      </c>
    </row>
    <row r="678" spans="1:11" x14ac:dyDescent="0.25">
      <c r="A678" t="s">
        <v>677</v>
      </c>
      <c r="B678" s="1">
        <v>46013</v>
      </c>
      <c r="C678">
        <v>2025</v>
      </c>
      <c r="D678" t="s">
        <v>1228</v>
      </c>
      <c r="E678" t="s">
        <v>1210</v>
      </c>
      <c r="F678" t="s">
        <v>1196</v>
      </c>
      <c r="G678" t="s">
        <v>1010</v>
      </c>
      <c r="H678" s="2">
        <v>12000</v>
      </c>
      <c r="I678" t="s">
        <v>1211</v>
      </c>
      <c r="J678" t="s">
        <v>1030</v>
      </c>
      <c r="K678" t="s">
        <v>1031</v>
      </c>
    </row>
    <row r="679" spans="1:11" x14ac:dyDescent="0.25">
      <c r="A679" t="s">
        <v>678</v>
      </c>
      <c r="B679" s="1">
        <v>46015</v>
      </c>
      <c r="C679">
        <v>2025</v>
      </c>
      <c r="D679" t="s">
        <v>1228</v>
      </c>
      <c r="E679" t="s">
        <v>1210</v>
      </c>
      <c r="F679" t="s">
        <v>1018</v>
      </c>
      <c r="G679" t="s">
        <v>1013</v>
      </c>
      <c r="H679" s="2">
        <v>4000</v>
      </c>
      <c r="I679" t="s">
        <v>1206</v>
      </c>
      <c r="J679" t="s">
        <v>1030</v>
      </c>
      <c r="K679" t="s">
        <v>1031</v>
      </c>
    </row>
    <row r="680" spans="1:11" x14ac:dyDescent="0.25">
      <c r="A680" t="s">
        <v>679</v>
      </c>
      <c r="B680" s="1">
        <v>46019</v>
      </c>
      <c r="C680">
        <v>2025</v>
      </c>
      <c r="D680" t="s">
        <v>1228</v>
      </c>
      <c r="E680" t="s">
        <v>1210</v>
      </c>
      <c r="F680" t="s">
        <v>1018</v>
      </c>
      <c r="G680" t="s">
        <v>1013</v>
      </c>
      <c r="H680" s="2">
        <v>4000</v>
      </c>
      <c r="I680" t="s">
        <v>1206</v>
      </c>
      <c r="J680" t="s">
        <v>1030</v>
      </c>
      <c r="K680" t="s">
        <v>1031</v>
      </c>
    </row>
    <row r="681" spans="1:11" x14ac:dyDescent="0.25">
      <c r="A681" t="s">
        <v>680</v>
      </c>
      <c r="B681" s="1">
        <v>46019</v>
      </c>
      <c r="C681">
        <v>2025</v>
      </c>
      <c r="D681" t="s">
        <v>1228</v>
      </c>
      <c r="E681" t="s">
        <v>1210</v>
      </c>
      <c r="F681" t="s">
        <v>1102</v>
      </c>
      <c r="G681" t="s">
        <v>1011</v>
      </c>
      <c r="H681" s="2">
        <v>22000</v>
      </c>
      <c r="I681" t="s">
        <v>1211</v>
      </c>
      <c r="J681" t="s">
        <v>1030</v>
      </c>
      <c r="K681" t="s">
        <v>1031</v>
      </c>
    </row>
    <row r="682" spans="1:11" x14ac:dyDescent="0.25">
      <c r="A682" t="s">
        <v>681</v>
      </c>
      <c r="B682" s="1">
        <v>46020</v>
      </c>
      <c r="C682">
        <v>2025</v>
      </c>
      <c r="D682" t="s">
        <v>1228</v>
      </c>
      <c r="E682" t="s">
        <v>1213</v>
      </c>
      <c r="F682" t="s">
        <v>1049</v>
      </c>
      <c r="G682" t="s">
        <v>1199</v>
      </c>
      <c r="H682" s="2">
        <v>20000</v>
      </c>
      <c r="I682" t="s">
        <v>1206</v>
      </c>
      <c r="J682" t="s">
        <v>1030</v>
      </c>
      <c r="K682" t="s">
        <v>1031</v>
      </c>
    </row>
    <row r="683" spans="1:11" x14ac:dyDescent="0.25">
      <c r="A683" t="s">
        <v>682</v>
      </c>
      <c r="B683" s="1">
        <v>46020</v>
      </c>
      <c r="C683">
        <v>2025</v>
      </c>
      <c r="D683" t="s">
        <v>1228</v>
      </c>
      <c r="E683" t="s">
        <v>1213</v>
      </c>
      <c r="F683" t="s">
        <v>1025</v>
      </c>
      <c r="G683" t="s">
        <v>1014</v>
      </c>
      <c r="H683" s="2">
        <v>5000</v>
      </c>
      <c r="I683" t="s">
        <v>1206</v>
      </c>
      <c r="J683" t="s">
        <v>1030</v>
      </c>
      <c r="K683" t="s">
        <v>1031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3FC56-9767-40B0-BAB9-68713829E6C0}">
  <dimension ref="A2:M32"/>
  <sheetViews>
    <sheetView zoomScale="95" zoomScaleNormal="95" workbookViewId="0">
      <selection activeCell="K13" sqref="K13"/>
    </sheetView>
  </sheetViews>
  <sheetFormatPr defaultRowHeight="15" x14ac:dyDescent="0.25"/>
  <cols>
    <col min="1" max="1" width="11.42578125" bestFit="1" customWidth="1"/>
    <col min="2" max="2" width="14.85546875" bestFit="1" customWidth="1"/>
    <col min="6" max="6" width="14.85546875" bestFit="1" customWidth="1"/>
    <col min="7" max="7" width="16.85546875" bestFit="1" customWidth="1"/>
    <col min="8" max="8" width="9" bestFit="1" customWidth="1"/>
    <col min="9" max="9" width="14.7109375" bestFit="1" customWidth="1"/>
    <col min="11" max="11" width="20.85546875" bestFit="1" customWidth="1"/>
    <col min="12" max="12" width="16.85546875" bestFit="1" customWidth="1"/>
    <col min="13" max="13" width="10.7109375" bestFit="1" customWidth="1"/>
  </cols>
  <sheetData>
    <row r="2" spans="1:12" x14ac:dyDescent="0.25">
      <c r="A2" t="s">
        <v>1237</v>
      </c>
    </row>
    <row r="3" spans="1:12" x14ac:dyDescent="0.25">
      <c r="A3" s="3" t="s">
        <v>1003</v>
      </c>
      <c r="B3" t="s">
        <v>1236</v>
      </c>
      <c r="F3" t="s">
        <v>1238</v>
      </c>
    </row>
    <row r="4" spans="1:12" x14ac:dyDescent="0.25">
      <c r="A4" s="4" t="s">
        <v>1204</v>
      </c>
      <c r="B4" s="2">
        <v>690390</v>
      </c>
      <c r="F4" s="3" t="s">
        <v>1006</v>
      </c>
      <c r="G4" t="s">
        <v>1236</v>
      </c>
      <c r="I4" t="s">
        <v>1242</v>
      </c>
      <c r="L4" t="s">
        <v>1245</v>
      </c>
    </row>
    <row r="5" spans="1:12" x14ac:dyDescent="0.25">
      <c r="A5" s="4" t="s">
        <v>1214</v>
      </c>
      <c r="B5" s="2">
        <v>746350</v>
      </c>
      <c r="F5" s="4" t="s">
        <v>1011</v>
      </c>
      <c r="G5" s="2">
        <v>3163200</v>
      </c>
      <c r="I5" s="2">
        <v>12939933</v>
      </c>
      <c r="L5" t="s">
        <v>1206</v>
      </c>
    </row>
    <row r="6" spans="1:12" x14ac:dyDescent="0.25">
      <c r="A6" s="4" t="s">
        <v>1215</v>
      </c>
      <c r="B6" s="2">
        <v>980140</v>
      </c>
      <c r="F6" s="4" t="s">
        <v>1197</v>
      </c>
      <c r="G6" s="2">
        <v>1859600</v>
      </c>
    </row>
    <row r="7" spans="1:12" x14ac:dyDescent="0.25">
      <c r="A7" s="4" t="s">
        <v>1216</v>
      </c>
      <c r="B7" s="2">
        <v>1049653</v>
      </c>
      <c r="F7" s="4" t="s">
        <v>1015</v>
      </c>
      <c r="G7" s="2">
        <v>357250</v>
      </c>
    </row>
    <row r="8" spans="1:12" x14ac:dyDescent="0.25">
      <c r="A8" s="4" t="s">
        <v>1217</v>
      </c>
      <c r="B8" s="2">
        <v>1410930</v>
      </c>
      <c r="F8" s="4" t="s">
        <v>1012</v>
      </c>
      <c r="G8" s="2">
        <v>732780</v>
      </c>
      <c r="I8" t="s">
        <v>1243</v>
      </c>
      <c r="L8" t="s">
        <v>1246</v>
      </c>
    </row>
    <row r="9" spans="1:12" x14ac:dyDescent="0.25">
      <c r="A9" s="4" t="s">
        <v>1219</v>
      </c>
      <c r="B9" s="2">
        <v>1297990</v>
      </c>
      <c r="F9" s="4" t="s">
        <v>1200</v>
      </c>
      <c r="G9" s="2">
        <v>5600</v>
      </c>
      <c r="I9" t="s">
        <v>1011</v>
      </c>
      <c r="L9" s="2">
        <f>I5/12</f>
        <v>1078327.75</v>
      </c>
    </row>
    <row r="10" spans="1:12" x14ac:dyDescent="0.25">
      <c r="A10" s="4" t="s">
        <v>1221</v>
      </c>
      <c r="B10" s="2">
        <v>1586300</v>
      </c>
      <c r="F10" s="4" t="s">
        <v>1198</v>
      </c>
      <c r="G10" s="2">
        <v>1270500</v>
      </c>
      <c r="I10" s="2">
        <v>3163200</v>
      </c>
    </row>
    <row r="11" spans="1:12" x14ac:dyDescent="0.25">
      <c r="A11" s="4" t="s">
        <v>1222</v>
      </c>
      <c r="B11" s="2">
        <v>966230</v>
      </c>
      <c r="F11" s="4" t="s">
        <v>1199</v>
      </c>
      <c r="G11" s="2">
        <v>1460000</v>
      </c>
    </row>
    <row r="12" spans="1:12" x14ac:dyDescent="0.25">
      <c r="A12" s="4" t="s">
        <v>1223</v>
      </c>
      <c r="B12" s="2">
        <v>1399410</v>
      </c>
      <c r="F12" s="4" t="s">
        <v>1010</v>
      </c>
      <c r="G12" s="2">
        <v>1026343</v>
      </c>
      <c r="I12" t="s">
        <v>1244</v>
      </c>
    </row>
    <row r="13" spans="1:12" x14ac:dyDescent="0.25">
      <c r="A13" s="4" t="s">
        <v>1224</v>
      </c>
      <c r="B13" s="2">
        <v>1062010</v>
      </c>
      <c r="F13" s="4" t="s">
        <v>1013</v>
      </c>
      <c r="G13" s="2">
        <v>325370</v>
      </c>
      <c r="I13" t="s">
        <v>1221</v>
      </c>
    </row>
    <row r="14" spans="1:12" x14ac:dyDescent="0.25">
      <c r="A14" s="4" t="s">
        <v>1227</v>
      </c>
      <c r="B14" s="2">
        <v>862020</v>
      </c>
      <c r="F14" s="4" t="s">
        <v>1201</v>
      </c>
      <c r="G14" s="2">
        <v>148000</v>
      </c>
      <c r="I14" s="2">
        <v>1586300</v>
      </c>
    </row>
    <row r="15" spans="1:12" x14ac:dyDescent="0.25">
      <c r="A15" s="4" t="s">
        <v>1228</v>
      </c>
      <c r="B15" s="2">
        <v>888510</v>
      </c>
      <c r="F15" s="4" t="s">
        <v>1014</v>
      </c>
      <c r="G15" s="2">
        <v>2591290</v>
      </c>
    </row>
    <row r="18" spans="1:13" x14ac:dyDescent="0.25">
      <c r="F18" s="4" t="s">
        <v>1241</v>
      </c>
      <c r="K18" t="s">
        <v>1247</v>
      </c>
    </row>
    <row r="19" spans="1:13" x14ac:dyDescent="0.25">
      <c r="A19" t="s">
        <v>1239</v>
      </c>
      <c r="F19" s="3" t="s">
        <v>1236</v>
      </c>
      <c r="G19" s="3" t="s">
        <v>1240</v>
      </c>
      <c r="K19" s="3" t="s">
        <v>1236</v>
      </c>
      <c r="L19" s="3" t="s">
        <v>1240</v>
      </c>
    </row>
    <row r="20" spans="1:13" x14ac:dyDescent="0.25">
      <c r="A20" s="3" t="s">
        <v>1006</v>
      </c>
      <c r="B20" t="s">
        <v>1236</v>
      </c>
      <c r="F20" s="3" t="s">
        <v>1006</v>
      </c>
      <c r="G20">
        <v>2024</v>
      </c>
      <c r="H20">
        <v>2025</v>
      </c>
      <c r="K20" s="3" t="s">
        <v>1006</v>
      </c>
      <c r="L20">
        <v>2024</v>
      </c>
      <c r="M20">
        <v>2025</v>
      </c>
    </row>
    <row r="21" spans="1:13" x14ac:dyDescent="0.25">
      <c r="A21" s="4" t="s">
        <v>1211</v>
      </c>
      <c r="B21" s="2">
        <v>2937533</v>
      </c>
      <c r="F21" s="4" t="s">
        <v>1204</v>
      </c>
      <c r="G21" s="2">
        <v>185960</v>
      </c>
      <c r="H21" s="2">
        <v>504430</v>
      </c>
      <c r="K21" s="4" t="s">
        <v>1011</v>
      </c>
      <c r="L21" s="2">
        <v>1890500</v>
      </c>
      <c r="M21" s="2">
        <v>1272700</v>
      </c>
    </row>
    <row r="22" spans="1:13" x14ac:dyDescent="0.25">
      <c r="A22" s="4" t="s">
        <v>1212</v>
      </c>
      <c r="B22" s="2">
        <v>708100</v>
      </c>
      <c r="F22" s="4" t="s">
        <v>1214</v>
      </c>
      <c r="G22" s="2">
        <v>256750</v>
      </c>
      <c r="H22" s="2">
        <v>489600</v>
      </c>
      <c r="K22" s="4" t="s">
        <v>1197</v>
      </c>
      <c r="L22" s="2">
        <v>942100</v>
      </c>
      <c r="M22" s="2">
        <v>917500</v>
      </c>
    </row>
    <row r="23" spans="1:13" x14ac:dyDescent="0.25">
      <c r="A23" s="4" t="s">
        <v>1206</v>
      </c>
      <c r="B23" s="2">
        <v>9294300</v>
      </c>
      <c r="F23" s="4" t="s">
        <v>1215</v>
      </c>
      <c r="G23" s="2">
        <v>399260</v>
      </c>
      <c r="H23" s="2">
        <v>580880</v>
      </c>
      <c r="K23" s="4" t="s">
        <v>1015</v>
      </c>
      <c r="L23" s="2">
        <v>79250</v>
      </c>
      <c r="M23" s="2">
        <v>278000</v>
      </c>
    </row>
    <row r="24" spans="1:13" x14ac:dyDescent="0.25">
      <c r="F24" s="4" t="s">
        <v>1216</v>
      </c>
      <c r="G24" s="2">
        <v>341853</v>
      </c>
      <c r="H24" s="2">
        <v>707800</v>
      </c>
      <c r="K24" s="4" t="s">
        <v>1012</v>
      </c>
      <c r="L24" s="2">
        <v>129430</v>
      </c>
      <c r="M24" s="2">
        <v>603350</v>
      </c>
    </row>
    <row r="25" spans="1:13" x14ac:dyDescent="0.25">
      <c r="F25" s="4" t="s">
        <v>1217</v>
      </c>
      <c r="G25" s="2">
        <v>593330</v>
      </c>
      <c r="H25" s="2">
        <v>817600</v>
      </c>
      <c r="K25" s="4" t="s">
        <v>1200</v>
      </c>
      <c r="L25" s="2">
        <v>5600</v>
      </c>
      <c r="M25" s="2"/>
    </row>
    <row r="26" spans="1:13" x14ac:dyDescent="0.25">
      <c r="F26" s="4" t="s">
        <v>1219</v>
      </c>
      <c r="G26" s="2">
        <v>363700</v>
      </c>
      <c r="H26" s="2">
        <v>934290</v>
      </c>
      <c r="K26" s="4" t="s">
        <v>1198</v>
      </c>
      <c r="L26" s="2">
        <v>421200</v>
      </c>
      <c r="M26" s="2">
        <v>849300</v>
      </c>
    </row>
    <row r="27" spans="1:13" x14ac:dyDescent="0.25">
      <c r="F27" s="4" t="s">
        <v>1221</v>
      </c>
      <c r="G27" s="2">
        <v>605730</v>
      </c>
      <c r="H27" s="2">
        <v>980570</v>
      </c>
      <c r="K27" s="4" t="s">
        <v>1199</v>
      </c>
      <c r="L27" s="2">
        <v>648000</v>
      </c>
      <c r="M27" s="2">
        <v>812000</v>
      </c>
    </row>
    <row r="28" spans="1:13" x14ac:dyDescent="0.25">
      <c r="F28" s="4" t="s">
        <v>1222</v>
      </c>
      <c r="G28" s="2">
        <v>464770</v>
      </c>
      <c r="H28" s="2">
        <v>501460</v>
      </c>
      <c r="K28" s="4" t="s">
        <v>1010</v>
      </c>
      <c r="L28" s="2">
        <v>340543</v>
      </c>
      <c r="M28" s="2">
        <v>685800</v>
      </c>
    </row>
    <row r="29" spans="1:13" x14ac:dyDescent="0.25">
      <c r="F29" s="4" t="s">
        <v>1223</v>
      </c>
      <c r="G29" s="2">
        <v>990770</v>
      </c>
      <c r="H29" s="2">
        <v>408640</v>
      </c>
      <c r="K29" s="4" t="s">
        <v>1013</v>
      </c>
      <c r="L29" s="2">
        <v>139370</v>
      </c>
      <c r="M29" s="2">
        <v>186000</v>
      </c>
    </row>
    <row r="30" spans="1:13" x14ac:dyDescent="0.25">
      <c r="F30" s="4" t="s">
        <v>1224</v>
      </c>
      <c r="G30" s="2">
        <v>604930</v>
      </c>
      <c r="H30" s="2">
        <v>457080</v>
      </c>
      <c r="K30" s="4" t="s">
        <v>1201</v>
      </c>
      <c r="L30" s="2">
        <v>98000</v>
      </c>
      <c r="M30" s="2">
        <v>50000</v>
      </c>
    </row>
    <row r="31" spans="1:13" x14ac:dyDescent="0.25">
      <c r="F31" s="4" t="s">
        <v>1227</v>
      </c>
      <c r="G31" s="2">
        <v>436920</v>
      </c>
      <c r="H31" s="2">
        <v>425100</v>
      </c>
      <c r="K31" s="4" t="s">
        <v>1014</v>
      </c>
      <c r="L31" s="2">
        <v>1004790</v>
      </c>
      <c r="M31" s="2">
        <v>1586500</v>
      </c>
    </row>
    <row r="32" spans="1:13" x14ac:dyDescent="0.25">
      <c r="F32" s="4" t="s">
        <v>1228</v>
      </c>
      <c r="G32" s="2">
        <v>454810</v>
      </c>
      <c r="H32" s="2">
        <v>433700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A0B40-3CC3-4050-BC25-C3DF66704620}">
  <dimension ref="C10"/>
  <sheetViews>
    <sheetView showGridLines="0" showRowColHeaders="0" tabSelected="1" topLeftCell="A2" zoomScale="91" zoomScaleNormal="91" zoomScaleSheetLayoutView="80" workbookViewId="0">
      <selection activeCell="AD41" sqref="AD41"/>
      <extLst>
        <ext xmlns:xlsdti="http://schemas.microsoft.com/office/spreadsheetml/2023/showDataTypeIcons" uri="{77bfe23e-c014-4d31-8a63-9c772dbf06b6}">
          <xlsdti:showDataTypeIcons visible="0"/>
        </ext>
      </extLst>
    </sheetView>
  </sheetViews>
  <sheetFormatPr defaultRowHeight="15" x14ac:dyDescent="0.25"/>
  <sheetData>
    <row r="10" spans="3:3" x14ac:dyDescent="0.25">
      <c r="C10" t="e" vm="1">
        <v>#VALUE!</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5C182A-6C58-4ACE-A159-0812E6AB60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Lookup_List</vt:lpstr>
      <vt:lpstr> the raw data</vt:lpstr>
      <vt:lpstr>Copy_Raw_ Data</vt:lpstr>
      <vt:lpstr>Expense_Transaction</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Blessing Daubri</dc:creator>
  <cp:lastModifiedBy>Blessing Daubri</cp:lastModifiedBy>
  <dcterms:created xsi:type="dcterms:W3CDTF">2026-04-17T11:20:19Z</dcterms:created>
  <dcterms:modified xsi:type="dcterms:W3CDTF">2026-05-18T15:10:52Z</dcterms:modified>
</cp:coreProperties>
</file>